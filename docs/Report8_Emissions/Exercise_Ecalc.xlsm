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trlProps/ctrlProp6.xml" ContentType="application/vnd.ms-excel.controlproperties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8.xml" ContentType="application/vnd.openxmlformats-officedocument.drawing+xml"/>
  <Override PartName="/xl/ctrlProps/ctrlProp7.xml" ContentType="application/vnd.ms-excel.controlproperties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trlProps/ctrlProp8.xml" ContentType="application/vnd.ms-excel.controlproperties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0.xml" ContentType="application/vnd.openxmlformats-officedocument.drawing+xml"/>
  <Override PartName="/xl/ctrlProps/ctrlProp9.xml" ContentType="application/vnd.ms-excel.controlproperties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1.xml" ContentType="application/vnd.openxmlformats-officedocument.drawing+xml"/>
  <Override PartName="/xl/ctrlProps/ctrlProp10.xml" ContentType="application/vnd.ms-excel.controlpropertie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2.xml" ContentType="application/vnd.openxmlformats-officedocument.drawing+xml"/>
  <Override PartName="/xl/ctrlProps/ctrlProp11.xml" ContentType="application/vnd.ms-excel.controlproperties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3.xml" ContentType="application/vnd.openxmlformats-officedocument.drawing+xml"/>
  <Override PartName="/xl/ctrlProps/ctrlProp12.xml" ContentType="application/vnd.ms-excel.controlproperties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4.xml" ContentType="application/vnd.openxmlformats-officedocument.drawing+xml"/>
  <Override PartName="/xl/ctrlProps/ctrlProp13.xml" ContentType="application/vnd.ms-excel.controlproperties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5.xml" ContentType="application/vnd.openxmlformats-officedocument.drawing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tiago.LENOVO-I7\Unicamp\2023.02\PP590_ModeloIntegrado\eCalc\"/>
    </mc:Choice>
  </mc:AlternateContent>
  <xr:revisionPtr revIDLastSave="0" documentId="13_ncr:1_{15301303-0007-431F-9452-D70C69817F24}" xr6:coauthVersionLast="47" xr6:coauthVersionMax="47" xr10:uidLastSave="{00000000-0000-0000-0000-000000000000}"/>
  <bookViews>
    <workbookView xWindow="-108" yWindow="-108" windowWidth="23256" windowHeight="12456" firstSheet="9" activeTab="14" xr2:uid="{00000000-000D-0000-FFFF-FFFF00000000}"/>
  </bookViews>
  <sheets>
    <sheet name="Original" sheetId="1" r:id="rId1"/>
    <sheet name="Adjusted" sheetId="2" r:id="rId2"/>
    <sheet name="2pcLoss" sheetId="3" r:id="rId3"/>
    <sheet name="1pcLoss" sheetId="4" r:id="rId4"/>
    <sheet name="0.5pcLoss" sheetId="5" r:id="rId5"/>
    <sheet name="Base-20pc" sheetId="9" r:id="rId6"/>
    <sheet name="Base-10pc" sheetId="7" r:id="rId7"/>
    <sheet name="Base+10pc" sheetId="8" r:id="rId8"/>
    <sheet name="Base+20pc" sheetId="10" r:id="rId9"/>
    <sheet name="WindFarm" sheetId="15" r:id="rId10"/>
    <sheet name="NoGasExport" sheetId="11" r:id="rId11"/>
    <sheet name="MaxExport" sheetId="12" r:id="rId12"/>
    <sheet name="MinSeaWat" sheetId="13" r:id="rId13"/>
    <sheet name="MaxSeaWat" sheetId="14" r:id="rId14"/>
    <sheet name="Summary" sheetId="6" r:id="rId15"/>
  </sheets>
  <functionGroups builtInGroupCount="19"/>
  <definedNames>
    <definedName name="solver_adj" localSheetId="4" hidden="1">'0.5pcLoss'!$M$17,'0.5pcLoss'!$M$19</definedName>
    <definedName name="solver_adj" localSheetId="3" hidden="1">'1pcLoss'!$M$17,'1pcLoss'!$M$19</definedName>
    <definedName name="solver_adj" localSheetId="2" hidden="1">'2pcLoss'!$M$17,'2pcLoss'!$M$19</definedName>
    <definedName name="solver_adj" localSheetId="1" hidden="1">Adjusted!$M$17,Adjusted!$M$19</definedName>
    <definedName name="solver_adj" localSheetId="7" hidden="1">'Base+10pc'!$M$17,'Base+10pc'!$M$19</definedName>
    <definedName name="solver_adj" localSheetId="8" hidden="1">'Base+20pc'!$M$17,'Base+20pc'!$M$19</definedName>
    <definedName name="solver_adj" localSheetId="6" hidden="1">'Base-10pc'!$M$17,'Base-10pc'!$M$19</definedName>
    <definedName name="solver_adj" localSheetId="5" hidden="1">'Base-20pc'!$M$17,'Base-20pc'!$M$19</definedName>
    <definedName name="solver_adj" localSheetId="11" hidden="1">MaxExport!$M$17,MaxExport!$M$19</definedName>
    <definedName name="solver_adj" localSheetId="13" hidden="1">MaxSeaWat!$M$17,MaxSeaWat!$M$19</definedName>
    <definedName name="solver_adj" localSheetId="12" hidden="1">MinSeaWat!$M$17,MinSeaWat!$M$19</definedName>
    <definedName name="solver_adj" localSheetId="10" hidden="1">NoGasExport!$M$17,NoGasExport!$M$19</definedName>
    <definedName name="solver_adj" localSheetId="0" hidden="1">Original!$S$26</definedName>
    <definedName name="solver_adj" localSheetId="9" hidden="1">WindFarm!$M$17,WindFarm!$M$19</definedName>
    <definedName name="solver_cvg" localSheetId="4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7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8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6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5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0" hidden="1">"""""""""""""""""""""""""""""""0,0001"""""""""""""""""""""""""""""""</definedName>
    <definedName name="solver_cvg" localSheetId="9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4" hidden="1">1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drv" localSheetId="7" hidden="1">1</definedName>
    <definedName name="solver_drv" localSheetId="8" hidden="1">1</definedName>
    <definedName name="solver_drv" localSheetId="6" hidden="1">1</definedName>
    <definedName name="solver_drv" localSheetId="5" hidden="1">1</definedName>
    <definedName name="solver_drv" localSheetId="11" hidden="1">1</definedName>
    <definedName name="solver_drv" localSheetId="13" hidden="1">1</definedName>
    <definedName name="solver_drv" localSheetId="12" hidden="1">1</definedName>
    <definedName name="solver_drv" localSheetId="10" hidden="1">1</definedName>
    <definedName name="solver_drv" localSheetId="0" hidden="1">1</definedName>
    <definedName name="solver_drv" localSheetId="9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ng" localSheetId="7" hidden="1">1</definedName>
    <definedName name="solver_eng" localSheetId="8" hidden="1">1</definedName>
    <definedName name="solver_eng" localSheetId="6" hidden="1">1</definedName>
    <definedName name="solver_eng" localSheetId="5" hidden="1">1</definedName>
    <definedName name="solver_eng" localSheetId="11" hidden="1">1</definedName>
    <definedName name="solver_eng" localSheetId="13" hidden="1">1</definedName>
    <definedName name="solver_eng" localSheetId="12" hidden="1">1</definedName>
    <definedName name="solver_eng" localSheetId="10" hidden="1">1</definedName>
    <definedName name="solver_eng" localSheetId="0" hidden="1">2</definedName>
    <definedName name="solver_eng" localSheetId="9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est" localSheetId="7" hidden="1">1</definedName>
    <definedName name="solver_est" localSheetId="8" hidden="1">1</definedName>
    <definedName name="solver_est" localSheetId="6" hidden="1">1</definedName>
    <definedName name="solver_est" localSheetId="5" hidden="1">1</definedName>
    <definedName name="solver_est" localSheetId="11" hidden="1">1</definedName>
    <definedName name="solver_est" localSheetId="13" hidden="1">1</definedName>
    <definedName name="solver_est" localSheetId="12" hidden="1">1</definedName>
    <definedName name="solver_est" localSheetId="10" hidden="1">1</definedName>
    <definedName name="solver_est" localSheetId="0" hidden="1">1</definedName>
    <definedName name="solver_est" localSheetId="9" hidden="1">1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itr" localSheetId="7" hidden="1">2147483647</definedName>
    <definedName name="solver_itr" localSheetId="8" hidden="1">2147483647</definedName>
    <definedName name="solver_itr" localSheetId="6" hidden="1">2147483647</definedName>
    <definedName name="solver_itr" localSheetId="5" hidden="1">2147483647</definedName>
    <definedName name="solver_itr" localSheetId="11" hidden="1">2147483647</definedName>
    <definedName name="solver_itr" localSheetId="13" hidden="1">2147483647</definedName>
    <definedName name="solver_itr" localSheetId="12" hidden="1">2147483647</definedName>
    <definedName name="solver_itr" localSheetId="10" hidden="1">2147483647</definedName>
    <definedName name="solver_itr" localSheetId="0" hidden="1">2147483647</definedName>
    <definedName name="solver_itr" localSheetId="9" hidden="1">2147483647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ip" localSheetId="7" hidden="1">2147483647</definedName>
    <definedName name="solver_mip" localSheetId="8" hidden="1">2147483647</definedName>
    <definedName name="solver_mip" localSheetId="6" hidden="1">2147483647</definedName>
    <definedName name="solver_mip" localSheetId="5" hidden="1">2147483647</definedName>
    <definedName name="solver_mip" localSheetId="11" hidden="1">2147483647</definedName>
    <definedName name="solver_mip" localSheetId="13" hidden="1">2147483647</definedName>
    <definedName name="solver_mip" localSheetId="12" hidden="1">2147483647</definedName>
    <definedName name="solver_mip" localSheetId="10" hidden="1">2147483647</definedName>
    <definedName name="solver_mip" localSheetId="0" hidden="1">2147483647</definedName>
    <definedName name="solver_mip" localSheetId="9" hidden="1">2147483647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ni" localSheetId="7" hidden="1">30</definedName>
    <definedName name="solver_mni" localSheetId="8" hidden="1">30</definedName>
    <definedName name="solver_mni" localSheetId="6" hidden="1">30</definedName>
    <definedName name="solver_mni" localSheetId="5" hidden="1">30</definedName>
    <definedName name="solver_mni" localSheetId="11" hidden="1">30</definedName>
    <definedName name="solver_mni" localSheetId="13" hidden="1">30</definedName>
    <definedName name="solver_mni" localSheetId="12" hidden="1">30</definedName>
    <definedName name="solver_mni" localSheetId="10" hidden="1">30</definedName>
    <definedName name="solver_mni" localSheetId="0" hidden="1">30</definedName>
    <definedName name="solver_mni" localSheetId="9" hidden="1">30</definedName>
    <definedName name="solver_mrt" localSheetId="4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7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8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6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5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0" hidden="1">"""""""""""""""""""""""""""""""0,075"""""""""""""""""""""""""""""""</definedName>
    <definedName name="solver_mrt" localSheetId="9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msl" localSheetId="7" hidden="1">2</definedName>
    <definedName name="solver_msl" localSheetId="8" hidden="1">2</definedName>
    <definedName name="solver_msl" localSheetId="6" hidden="1">2</definedName>
    <definedName name="solver_msl" localSheetId="5" hidden="1">2</definedName>
    <definedName name="solver_msl" localSheetId="11" hidden="1">2</definedName>
    <definedName name="solver_msl" localSheetId="13" hidden="1">2</definedName>
    <definedName name="solver_msl" localSheetId="12" hidden="1">2</definedName>
    <definedName name="solver_msl" localSheetId="10" hidden="1">2</definedName>
    <definedName name="solver_msl" localSheetId="0" hidden="1">2</definedName>
    <definedName name="solver_msl" localSheetId="9" hidden="1">2</definedName>
    <definedName name="solver_neg" localSheetId="4" hidden="1">1</definedName>
    <definedName name="solver_neg" localSheetId="3" hidden="1">1</definedName>
    <definedName name="solver_neg" localSheetId="2" hidden="1">1</definedName>
    <definedName name="solver_neg" localSheetId="1" hidden="1">1</definedName>
    <definedName name="solver_neg" localSheetId="7" hidden="1">1</definedName>
    <definedName name="solver_neg" localSheetId="8" hidden="1">1</definedName>
    <definedName name="solver_neg" localSheetId="6" hidden="1">1</definedName>
    <definedName name="solver_neg" localSheetId="5" hidden="1">1</definedName>
    <definedName name="solver_neg" localSheetId="11" hidden="1">1</definedName>
    <definedName name="solver_neg" localSheetId="13" hidden="1">1</definedName>
    <definedName name="solver_neg" localSheetId="12" hidden="1">1</definedName>
    <definedName name="solver_neg" localSheetId="10" hidden="1">1</definedName>
    <definedName name="solver_neg" localSheetId="0" hidden="1">1</definedName>
    <definedName name="solver_neg" localSheetId="9" hidden="1">1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od" localSheetId="7" hidden="1">2147483647</definedName>
    <definedName name="solver_nod" localSheetId="8" hidden="1">2147483647</definedName>
    <definedName name="solver_nod" localSheetId="6" hidden="1">2147483647</definedName>
    <definedName name="solver_nod" localSheetId="5" hidden="1">2147483647</definedName>
    <definedName name="solver_nod" localSheetId="11" hidden="1">2147483647</definedName>
    <definedName name="solver_nod" localSheetId="13" hidden="1">2147483647</definedName>
    <definedName name="solver_nod" localSheetId="12" hidden="1">2147483647</definedName>
    <definedName name="solver_nod" localSheetId="10" hidden="1">2147483647</definedName>
    <definedName name="solver_nod" localSheetId="0" hidden="1">2147483647</definedName>
    <definedName name="solver_nod" localSheetId="9" hidden="1">2147483647</definedName>
    <definedName name="solver_num" localSheetId="4" hidden="1">0</definedName>
    <definedName name="solver_num" localSheetId="3" hidden="1">0</definedName>
    <definedName name="solver_num" localSheetId="2" hidden="1">0</definedName>
    <definedName name="solver_num" localSheetId="1" hidden="1">0</definedName>
    <definedName name="solver_num" localSheetId="7" hidden="1">0</definedName>
    <definedName name="solver_num" localSheetId="8" hidden="1">0</definedName>
    <definedName name="solver_num" localSheetId="6" hidden="1">0</definedName>
    <definedName name="solver_num" localSheetId="5" hidden="1">0</definedName>
    <definedName name="solver_num" localSheetId="11" hidden="1">0</definedName>
    <definedName name="solver_num" localSheetId="13" hidden="1">0</definedName>
    <definedName name="solver_num" localSheetId="12" hidden="1">0</definedName>
    <definedName name="solver_num" localSheetId="10" hidden="1">0</definedName>
    <definedName name="solver_num" localSheetId="0" hidden="1">0</definedName>
    <definedName name="solver_num" localSheetId="9" hidden="1">0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nwt" localSheetId="7" hidden="1">1</definedName>
    <definedName name="solver_nwt" localSheetId="8" hidden="1">1</definedName>
    <definedName name="solver_nwt" localSheetId="6" hidden="1">1</definedName>
    <definedName name="solver_nwt" localSheetId="5" hidden="1">1</definedName>
    <definedName name="solver_nwt" localSheetId="11" hidden="1">1</definedName>
    <definedName name="solver_nwt" localSheetId="13" hidden="1">1</definedName>
    <definedName name="solver_nwt" localSheetId="12" hidden="1">1</definedName>
    <definedName name="solver_nwt" localSheetId="10" hidden="1">1</definedName>
    <definedName name="solver_nwt" localSheetId="0" hidden="1">1</definedName>
    <definedName name="solver_nwt" localSheetId="9" hidden="1">1</definedName>
    <definedName name="solver_opt" localSheetId="4" hidden="1">'0.5pcLoss'!$N$38</definedName>
    <definedName name="solver_opt" localSheetId="3" hidden="1">'1pcLoss'!$N$38</definedName>
    <definedName name="solver_opt" localSheetId="2" hidden="1">'2pcLoss'!$N$38</definedName>
    <definedName name="solver_opt" localSheetId="1" hidden="1">Adjusted!$N$38</definedName>
    <definedName name="solver_opt" localSheetId="7" hidden="1">'Base+10pc'!$N$38</definedName>
    <definedName name="solver_opt" localSheetId="8" hidden="1">'Base+20pc'!$N$38</definedName>
    <definedName name="solver_opt" localSheetId="6" hidden="1">'Base-10pc'!$N$38</definedName>
    <definedName name="solver_opt" localSheetId="5" hidden="1">'Base-20pc'!$N$38</definedName>
    <definedName name="solver_opt" localSheetId="11" hidden="1">MaxExport!$N$38</definedName>
    <definedName name="solver_opt" localSheetId="13" hidden="1">MaxSeaWat!$N$38</definedName>
    <definedName name="solver_opt" localSheetId="12" hidden="1">MinSeaWat!$N$38</definedName>
    <definedName name="solver_opt" localSheetId="10" hidden="1">NoGasExport!$N$38</definedName>
    <definedName name="solver_opt" localSheetId="0" hidden="1">Original!$V$26</definedName>
    <definedName name="solver_opt" localSheetId="9" hidden="1">WindFarm!$N$38</definedName>
    <definedName name="solver_pre" localSheetId="4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7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8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6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5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0" hidden="1">"""""""""""""""""""""""""""""""0,000001"""""""""""""""""""""""""""""""</definedName>
    <definedName name="solver_pre" localSheetId="9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4" hidden="1">1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bv" localSheetId="7" hidden="1">1</definedName>
    <definedName name="solver_rbv" localSheetId="8" hidden="1">1</definedName>
    <definedName name="solver_rbv" localSheetId="6" hidden="1">1</definedName>
    <definedName name="solver_rbv" localSheetId="5" hidden="1">1</definedName>
    <definedName name="solver_rbv" localSheetId="11" hidden="1">1</definedName>
    <definedName name="solver_rbv" localSheetId="13" hidden="1">1</definedName>
    <definedName name="solver_rbv" localSheetId="12" hidden="1">1</definedName>
    <definedName name="solver_rbv" localSheetId="10" hidden="1">1</definedName>
    <definedName name="solver_rbv" localSheetId="0" hidden="1">1</definedName>
    <definedName name="solver_rbv" localSheetId="9" hidden="1">1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lx" localSheetId="7" hidden="1">2</definedName>
    <definedName name="solver_rlx" localSheetId="8" hidden="1">2</definedName>
    <definedName name="solver_rlx" localSheetId="6" hidden="1">2</definedName>
    <definedName name="solver_rlx" localSheetId="5" hidden="1">2</definedName>
    <definedName name="solver_rlx" localSheetId="11" hidden="1">2</definedName>
    <definedName name="solver_rlx" localSheetId="13" hidden="1">2</definedName>
    <definedName name="solver_rlx" localSheetId="12" hidden="1">2</definedName>
    <definedName name="solver_rlx" localSheetId="10" hidden="1">2</definedName>
    <definedName name="solver_rlx" localSheetId="0" hidden="1">2</definedName>
    <definedName name="solver_rlx" localSheetId="9" hidden="1">2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rsd" localSheetId="7" hidden="1">0</definedName>
    <definedName name="solver_rsd" localSheetId="8" hidden="1">0</definedName>
    <definedName name="solver_rsd" localSheetId="6" hidden="1">0</definedName>
    <definedName name="solver_rsd" localSheetId="5" hidden="1">0</definedName>
    <definedName name="solver_rsd" localSheetId="11" hidden="1">0</definedName>
    <definedName name="solver_rsd" localSheetId="13" hidden="1">0</definedName>
    <definedName name="solver_rsd" localSheetId="12" hidden="1">0</definedName>
    <definedName name="solver_rsd" localSheetId="10" hidden="1">0</definedName>
    <definedName name="solver_rsd" localSheetId="0" hidden="1">0</definedName>
    <definedName name="solver_rsd" localSheetId="9" hidden="1">0</definedName>
    <definedName name="solver_scl" localSheetId="4" hidden="1">1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cl" localSheetId="7" hidden="1">1</definedName>
    <definedName name="solver_scl" localSheetId="8" hidden="1">1</definedName>
    <definedName name="solver_scl" localSheetId="6" hidden="1">1</definedName>
    <definedName name="solver_scl" localSheetId="5" hidden="1">1</definedName>
    <definedName name="solver_scl" localSheetId="11" hidden="1">1</definedName>
    <definedName name="solver_scl" localSheetId="13" hidden="1">1</definedName>
    <definedName name="solver_scl" localSheetId="12" hidden="1">1</definedName>
    <definedName name="solver_scl" localSheetId="10" hidden="1">1</definedName>
    <definedName name="solver_scl" localSheetId="0" hidden="1">1</definedName>
    <definedName name="solver_scl" localSheetId="9" hidden="1">1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ho" localSheetId="7" hidden="1">2</definedName>
    <definedName name="solver_sho" localSheetId="8" hidden="1">2</definedName>
    <definedName name="solver_sho" localSheetId="6" hidden="1">2</definedName>
    <definedName name="solver_sho" localSheetId="5" hidden="1">2</definedName>
    <definedName name="solver_sho" localSheetId="11" hidden="1">2</definedName>
    <definedName name="solver_sho" localSheetId="13" hidden="1">2</definedName>
    <definedName name="solver_sho" localSheetId="12" hidden="1">2</definedName>
    <definedName name="solver_sho" localSheetId="10" hidden="1">2</definedName>
    <definedName name="solver_sho" localSheetId="0" hidden="1">2</definedName>
    <definedName name="solver_sho" localSheetId="9" hidden="1">2</definedName>
    <definedName name="solver_ssz" localSheetId="4" hidden="1">100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ssz" localSheetId="7" hidden="1">100</definedName>
    <definedName name="solver_ssz" localSheetId="8" hidden="1">100</definedName>
    <definedName name="solver_ssz" localSheetId="6" hidden="1">100</definedName>
    <definedName name="solver_ssz" localSheetId="5" hidden="1">100</definedName>
    <definedName name="solver_ssz" localSheetId="11" hidden="1">100</definedName>
    <definedName name="solver_ssz" localSheetId="13" hidden="1">100</definedName>
    <definedName name="solver_ssz" localSheetId="12" hidden="1">100</definedName>
    <definedName name="solver_ssz" localSheetId="10" hidden="1">100</definedName>
    <definedName name="solver_ssz" localSheetId="0" hidden="1">100</definedName>
    <definedName name="solver_ssz" localSheetId="9" hidden="1">100</definedName>
    <definedName name="solver_tim" localSheetId="4" hidden="1">2147483647</definedName>
    <definedName name="solver_tim" localSheetId="3" hidden="1">2147483647</definedName>
    <definedName name="solver_tim" localSheetId="2" hidden="1">2147483647</definedName>
    <definedName name="solver_tim" localSheetId="1" hidden="1">2147483647</definedName>
    <definedName name="solver_tim" localSheetId="7" hidden="1">2147483647</definedName>
    <definedName name="solver_tim" localSheetId="8" hidden="1">2147483647</definedName>
    <definedName name="solver_tim" localSheetId="6" hidden="1">2147483647</definedName>
    <definedName name="solver_tim" localSheetId="5" hidden="1">2147483647</definedName>
    <definedName name="solver_tim" localSheetId="11" hidden="1">2147483647</definedName>
    <definedName name="solver_tim" localSheetId="13" hidden="1">2147483647</definedName>
    <definedName name="solver_tim" localSheetId="12" hidden="1">2147483647</definedName>
    <definedName name="solver_tim" localSheetId="10" hidden="1">2147483647</definedName>
    <definedName name="solver_tim" localSheetId="0" hidden="1">2147483647</definedName>
    <definedName name="solver_tim" localSheetId="9" hidden="1">2147483647</definedName>
    <definedName name="solver_tol" localSheetId="4" hidden="1">1</definedName>
    <definedName name="solver_tol" localSheetId="3" hidden="1">1</definedName>
    <definedName name="solver_tol" localSheetId="2" hidden="1">1</definedName>
    <definedName name="solver_tol" localSheetId="1" hidden="1">1</definedName>
    <definedName name="solver_tol" localSheetId="7" hidden="1">1</definedName>
    <definedName name="solver_tol" localSheetId="8" hidden="1">1</definedName>
    <definedName name="solver_tol" localSheetId="6" hidden="1">1</definedName>
    <definedName name="solver_tol" localSheetId="5" hidden="1">1</definedName>
    <definedName name="solver_tol" localSheetId="11" hidden="1">1</definedName>
    <definedName name="solver_tol" localSheetId="13" hidden="1">1</definedName>
    <definedName name="solver_tol" localSheetId="12" hidden="1">1</definedName>
    <definedName name="solver_tol" localSheetId="10" hidden="1">1</definedName>
    <definedName name="solver_tol" localSheetId="0" hidden="1">1</definedName>
    <definedName name="solver_tol" localSheetId="9" hidden="1">1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typ" localSheetId="1" hidden="1">2</definedName>
    <definedName name="solver_typ" localSheetId="7" hidden="1">2</definedName>
    <definedName name="solver_typ" localSheetId="8" hidden="1">2</definedName>
    <definedName name="solver_typ" localSheetId="6" hidden="1">2</definedName>
    <definedName name="solver_typ" localSheetId="5" hidden="1">2</definedName>
    <definedName name="solver_typ" localSheetId="11" hidden="1">2</definedName>
    <definedName name="solver_typ" localSheetId="13" hidden="1">2</definedName>
    <definedName name="solver_typ" localSheetId="12" hidden="1">2</definedName>
    <definedName name="solver_typ" localSheetId="10" hidden="1">2</definedName>
    <definedName name="solver_typ" localSheetId="0" hidden="1">2</definedName>
    <definedName name="solver_typ" localSheetId="9" hidden="1">2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al" localSheetId="7" hidden="1">0</definedName>
    <definedName name="solver_val" localSheetId="8" hidden="1">0</definedName>
    <definedName name="solver_val" localSheetId="6" hidden="1">0</definedName>
    <definedName name="solver_val" localSheetId="5" hidden="1">0</definedName>
    <definedName name="solver_val" localSheetId="11" hidden="1">0</definedName>
    <definedName name="solver_val" localSheetId="13" hidden="1">0</definedName>
    <definedName name="solver_val" localSheetId="12" hidden="1">0</definedName>
    <definedName name="solver_val" localSheetId="10" hidden="1">0</definedName>
    <definedName name="solver_val" localSheetId="0" hidden="1">0</definedName>
    <definedName name="solver_val" localSheetId="9" hidden="1">0</definedName>
    <definedName name="solver_ver" localSheetId="4" hidden="1">3</definedName>
    <definedName name="solver_ver" localSheetId="3" hidden="1">3</definedName>
    <definedName name="solver_ver" localSheetId="2" hidden="1">3</definedName>
    <definedName name="solver_ver" localSheetId="1" hidden="1">3</definedName>
    <definedName name="solver_ver" localSheetId="7" hidden="1">3</definedName>
    <definedName name="solver_ver" localSheetId="8" hidden="1">3</definedName>
    <definedName name="solver_ver" localSheetId="6" hidden="1">3</definedName>
    <definedName name="solver_ver" localSheetId="5" hidden="1">3</definedName>
    <definedName name="solver_ver" localSheetId="11" hidden="1">3</definedName>
    <definedName name="solver_ver" localSheetId="13" hidden="1">3</definedName>
    <definedName name="solver_ver" localSheetId="12" hidden="1">3</definedName>
    <definedName name="solver_ver" localSheetId="10" hidden="1">3</definedName>
    <definedName name="solver_ver" localSheetId="0" hidden="1">3</definedName>
    <definedName name="solver_ver" localSheetId="9" hidden="1">3</definedName>
  </definedNames>
  <calcPr calcId="191029"/>
</workbook>
</file>

<file path=xl/calcChain.xml><?xml version="1.0" encoding="utf-8"?>
<calcChain xmlns="http://schemas.openxmlformats.org/spreadsheetml/2006/main">
  <c r="AD36" i="15" l="1"/>
  <c r="AD35" i="15"/>
  <c r="AD34" i="15"/>
  <c r="AD33" i="15"/>
  <c r="AD32" i="15"/>
  <c r="AD31" i="15"/>
  <c r="AD30" i="15"/>
  <c r="AD29" i="15"/>
  <c r="AD28" i="15"/>
  <c r="AD27" i="15"/>
  <c r="AD26" i="15"/>
  <c r="AD25" i="15"/>
  <c r="Z36" i="15"/>
  <c r="Z35" i="15"/>
  <c r="Z34" i="15"/>
  <c r="Z33" i="15"/>
  <c r="Z32" i="15"/>
  <c r="Z31" i="15"/>
  <c r="Z30" i="15"/>
  <c r="Z29" i="15"/>
  <c r="Z28" i="15"/>
  <c r="Z27" i="15"/>
  <c r="Z26" i="15"/>
  <c r="Z25" i="15"/>
  <c r="AM36" i="15"/>
  <c r="P36" i="15"/>
  <c r="N36" i="15"/>
  <c r="M36" i="15"/>
  <c r="L36" i="15"/>
  <c r="T36" i="15" s="1"/>
  <c r="K36" i="15"/>
  <c r="J36" i="15"/>
  <c r="AM35" i="15"/>
  <c r="AF35" i="15"/>
  <c r="P35" i="15"/>
  <c r="O35" i="15" s="1"/>
  <c r="M35" i="15"/>
  <c r="L35" i="15" s="1"/>
  <c r="K35" i="15"/>
  <c r="J35" i="15"/>
  <c r="AM34" i="15"/>
  <c r="AF34" i="15"/>
  <c r="P34" i="15"/>
  <c r="O34" i="15" s="1"/>
  <c r="M34" i="15"/>
  <c r="L34" i="15" s="1"/>
  <c r="K34" i="15"/>
  <c r="J34" i="15"/>
  <c r="AM33" i="15"/>
  <c r="P33" i="15"/>
  <c r="AF33" i="15" s="1"/>
  <c r="O33" i="15"/>
  <c r="M33" i="15"/>
  <c r="L33" i="15" s="1"/>
  <c r="K33" i="15"/>
  <c r="J33" i="15"/>
  <c r="AM32" i="15"/>
  <c r="AF32" i="15"/>
  <c r="P32" i="15"/>
  <c r="O32" i="15"/>
  <c r="M32" i="15"/>
  <c r="L32" i="15"/>
  <c r="K32" i="15"/>
  <c r="J32" i="15"/>
  <c r="AM31" i="15"/>
  <c r="T31" i="15"/>
  <c r="P31" i="15"/>
  <c r="AF31" i="15" s="1"/>
  <c r="O31" i="15"/>
  <c r="M31" i="15"/>
  <c r="L31" i="15"/>
  <c r="N31" i="15" s="1"/>
  <c r="K31" i="15"/>
  <c r="J31" i="15"/>
  <c r="AM30" i="15"/>
  <c r="P30" i="15"/>
  <c r="AF30" i="15" s="1"/>
  <c r="O30" i="15"/>
  <c r="N30" i="15"/>
  <c r="M30" i="15"/>
  <c r="L30" i="15"/>
  <c r="T30" i="15" s="1"/>
  <c r="K30" i="15"/>
  <c r="J30" i="15"/>
  <c r="AM29" i="15"/>
  <c r="AF29" i="15"/>
  <c r="P29" i="15"/>
  <c r="O29" i="15"/>
  <c r="M29" i="15"/>
  <c r="L29" i="15"/>
  <c r="T29" i="15" s="1"/>
  <c r="K29" i="15"/>
  <c r="J29" i="15"/>
  <c r="AM28" i="15"/>
  <c r="P28" i="15"/>
  <c r="M28" i="15"/>
  <c r="L28" i="15"/>
  <c r="N28" i="15" s="1"/>
  <c r="K28" i="15"/>
  <c r="J28" i="15"/>
  <c r="AM27" i="15"/>
  <c r="AF27" i="15"/>
  <c r="P27" i="15"/>
  <c r="O27" i="15" s="1"/>
  <c r="M27" i="15"/>
  <c r="L27" i="15" s="1"/>
  <c r="K27" i="15"/>
  <c r="J27" i="15"/>
  <c r="AM26" i="15"/>
  <c r="AF26" i="15"/>
  <c r="T26" i="15"/>
  <c r="P26" i="15"/>
  <c r="O26" i="15" s="1"/>
  <c r="M26" i="15"/>
  <c r="L26" i="15" s="1"/>
  <c r="N26" i="15" s="1"/>
  <c r="K26" i="15"/>
  <c r="J26" i="15"/>
  <c r="AN26" i="15" s="1"/>
  <c r="AM25" i="15"/>
  <c r="P25" i="15"/>
  <c r="AF25" i="15" s="1"/>
  <c r="O25" i="15"/>
  <c r="M25" i="15"/>
  <c r="L25" i="15" s="1"/>
  <c r="K25" i="15"/>
  <c r="J25" i="15"/>
  <c r="AN25" i="15" s="1"/>
  <c r="S17" i="15"/>
  <c r="S18" i="15" s="1"/>
  <c r="AF11" i="15"/>
  <c r="AE11" i="15"/>
  <c r="AF10" i="15"/>
  <c r="AE10" i="15"/>
  <c r="AF9" i="15"/>
  <c r="AE9" i="15"/>
  <c r="AF8" i="15"/>
  <c r="AE8" i="15"/>
  <c r="AF7" i="15"/>
  <c r="AE7" i="15"/>
  <c r="AF6" i="15"/>
  <c r="AE6" i="15"/>
  <c r="AB16" i="1"/>
  <c r="AB17" i="1"/>
  <c r="AB18" i="1"/>
  <c r="AB19" i="1"/>
  <c r="AB20" i="1"/>
  <c r="AB15" i="1"/>
  <c r="AA20" i="1"/>
  <c r="AA19" i="1"/>
  <c r="AA18" i="1"/>
  <c r="AA17" i="1"/>
  <c r="AA16" i="1"/>
  <c r="AA15" i="1"/>
  <c r="AF41" i="2"/>
  <c r="AK40" i="2"/>
  <c r="AJ40" i="2"/>
  <c r="AI40" i="2"/>
  <c r="AH40" i="2"/>
  <c r="AG40" i="2"/>
  <c r="AF40" i="2"/>
  <c r="AI40" i="1"/>
  <c r="AH40" i="1"/>
  <c r="AG40" i="1"/>
  <c r="AF40" i="1"/>
  <c r="AD41" i="1"/>
  <c r="AE40" i="1"/>
  <c r="AD40" i="1"/>
  <c r="AD38" i="1"/>
  <c r="X38" i="1"/>
  <c r="Z38" i="14"/>
  <c r="AM36" i="14"/>
  <c r="P36" i="14"/>
  <c r="AF36" i="14" s="1"/>
  <c r="M36" i="14"/>
  <c r="N36" i="14" s="1"/>
  <c r="K36" i="14"/>
  <c r="J36" i="14"/>
  <c r="AM35" i="14"/>
  <c r="P35" i="14"/>
  <c r="AF35" i="14" s="1"/>
  <c r="T35" i="14"/>
  <c r="K35" i="14"/>
  <c r="J35" i="14"/>
  <c r="AM34" i="14"/>
  <c r="P34" i="14"/>
  <c r="AF34" i="14" s="1"/>
  <c r="K34" i="14"/>
  <c r="J34" i="14"/>
  <c r="AM33" i="14"/>
  <c r="P33" i="14"/>
  <c r="AF33" i="14" s="1"/>
  <c r="T33" i="14"/>
  <c r="K33" i="14"/>
  <c r="J33" i="14"/>
  <c r="AM32" i="14"/>
  <c r="P32" i="14"/>
  <c r="AF32" i="14" s="1"/>
  <c r="K32" i="14"/>
  <c r="J32" i="14"/>
  <c r="AM31" i="14"/>
  <c r="P31" i="14"/>
  <c r="AF31" i="14" s="1"/>
  <c r="T31" i="14"/>
  <c r="K31" i="14"/>
  <c r="J31" i="14"/>
  <c r="AM30" i="14"/>
  <c r="P30" i="14"/>
  <c r="AF30" i="14" s="1"/>
  <c r="K30" i="14"/>
  <c r="J30" i="14"/>
  <c r="AM29" i="14"/>
  <c r="P29" i="14"/>
  <c r="AF29" i="14" s="1"/>
  <c r="T29" i="14"/>
  <c r="K29" i="14"/>
  <c r="J29" i="14"/>
  <c r="AM28" i="14"/>
  <c r="P28" i="14"/>
  <c r="AF28" i="14" s="1"/>
  <c r="K28" i="14"/>
  <c r="J28" i="14"/>
  <c r="AM27" i="14"/>
  <c r="P27" i="14"/>
  <c r="AF27" i="14" s="1"/>
  <c r="T27" i="14"/>
  <c r="K27" i="14"/>
  <c r="J27" i="14"/>
  <c r="AM26" i="14"/>
  <c r="P26" i="14"/>
  <c r="AF26" i="14" s="1"/>
  <c r="K26" i="14"/>
  <c r="J26" i="14"/>
  <c r="AM25" i="14"/>
  <c r="P25" i="14"/>
  <c r="AF25" i="14" s="1"/>
  <c r="T25" i="14"/>
  <c r="K25" i="14"/>
  <c r="J25" i="14"/>
  <c r="AN25" i="14" s="1"/>
  <c r="S18" i="14"/>
  <c r="S17" i="14"/>
  <c r="AF11" i="14"/>
  <c r="AE11" i="14"/>
  <c r="AF10" i="14"/>
  <c r="AE10" i="14"/>
  <c r="AF9" i="14"/>
  <c r="AE9" i="14"/>
  <c r="AF8" i="14"/>
  <c r="AE8" i="14"/>
  <c r="AF7" i="14"/>
  <c r="AE7" i="14"/>
  <c r="AF6" i="14"/>
  <c r="AE6" i="14"/>
  <c r="L36" i="13"/>
  <c r="M36" i="13" s="1"/>
  <c r="N36" i="13" s="1"/>
  <c r="L35" i="13"/>
  <c r="M35" i="13" s="1"/>
  <c r="L34" i="13"/>
  <c r="M34" i="13" s="1"/>
  <c r="N34" i="13" s="1"/>
  <c r="L33" i="13"/>
  <c r="M33" i="13" s="1"/>
  <c r="M32" i="13"/>
  <c r="L32" i="13"/>
  <c r="M31" i="13"/>
  <c r="L31" i="13"/>
  <c r="M30" i="13"/>
  <c r="N30" i="13" s="1"/>
  <c r="L30" i="13"/>
  <c r="L29" i="13"/>
  <c r="M29" i="13" s="1"/>
  <c r="M28" i="13"/>
  <c r="N28" i="13" s="1"/>
  <c r="L28" i="13"/>
  <c r="M27" i="13"/>
  <c r="L27" i="13"/>
  <c r="M26" i="13"/>
  <c r="L26" i="13"/>
  <c r="M25" i="13"/>
  <c r="L25" i="13"/>
  <c r="N32" i="13"/>
  <c r="Z38" i="13"/>
  <c r="AM36" i="13"/>
  <c r="P36" i="13"/>
  <c r="AF36" i="13" s="1"/>
  <c r="O36" i="13"/>
  <c r="K36" i="13"/>
  <c r="J36" i="13"/>
  <c r="AM35" i="13"/>
  <c r="P35" i="13"/>
  <c r="AF35" i="13" s="1"/>
  <c r="K35" i="13"/>
  <c r="J35" i="13"/>
  <c r="AM34" i="13"/>
  <c r="P34" i="13"/>
  <c r="AF34" i="13" s="1"/>
  <c r="O34" i="13"/>
  <c r="K34" i="13"/>
  <c r="J34" i="13"/>
  <c r="AM33" i="13"/>
  <c r="P33" i="13"/>
  <c r="AF33" i="13" s="1"/>
  <c r="K33" i="13"/>
  <c r="J33" i="13"/>
  <c r="AM32" i="13"/>
  <c r="P32" i="13"/>
  <c r="AF32" i="13" s="1"/>
  <c r="O32" i="13"/>
  <c r="K32" i="13"/>
  <c r="J32" i="13"/>
  <c r="AM31" i="13"/>
  <c r="P31" i="13"/>
  <c r="AF31" i="13" s="1"/>
  <c r="K31" i="13"/>
  <c r="J31" i="13"/>
  <c r="AM30" i="13"/>
  <c r="P30" i="13"/>
  <c r="AF30" i="13" s="1"/>
  <c r="O30" i="13"/>
  <c r="K30" i="13"/>
  <c r="J30" i="13"/>
  <c r="AM29" i="13"/>
  <c r="P29" i="13"/>
  <c r="AF29" i="13" s="1"/>
  <c r="K29" i="13"/>
  <c r="J29" i="13"/>
  <c r="AM28" i="13"/>
  <c r="P28" i="13"/>
  <c r="AF28" i="13" s="1"/>
  <c r="O28" i="13"/>
  <c r="K28" i="13"/>
  <c r="J28" i="13"/>
  <c r="AM27" i="13"/>
  <c r="P27" i="13"/>
  <c r="AF27" i="13" s="1"/>
  <c r="K27" i="13"/>
  <c r="J27" i="13"/>
  <c r="AM26" i="13"/>
  <c r="P26" i="13"/>
  <c r="AF26" i="13" s="1"/>
  <c r="O26" i="13"/>
  <c r="N26" i="13"/>
  <c r="K26" i="13"/>
  <c r="J26" i="13"/>
  <c r="AM25" i="13"/>
  <c r="P25" i="13"/>
  <c r="AF25" i="13" s="1"/>
  <c r="K25" i="13"/>
  <c r="J25" i="13"/>
  <c r="AN25" i="13" s="1"/>
  <c r="AN26" i="13" s="1"/>
  <c r="AN27" i="13" s="1"/>
  <c r="AN28" i="13" s="1"/>
  <c r="AN29" i="13" s="1"/>
  <c r="AN30" i="13" s="1"/>
  <c r="AN31" i="13" s="1"/>
  <c r="AN32" i="13" s="1"/>
  <c r="S18" i="13"/>
  <c r="S17" i="13"/>
  <c r="AF11" i="13"/>
  <c r="AE11" i="13"/>
  <c r="AF10" i="13"/>
  <c r="AE10" i="13"/>
  <c r="AF9" i="13"/>
  <c r="AE9" i="13"/>
  <c r="AF8" i="13"/>
  <c r="AE8" i="13"/>
  <c r="AF7" i="13"/>
  <c r="AE7" i="13"/>
  <c r="AF6" i="13"/>
  <c r="AE6" i="13"/>
  <c r="Z38" i="12"/>
  <c r="AM36" i="12"/>
  <c r="P36" i="12"/>
  <c r="AF36" i="12" s="1"/>
  <c r="O36" i="12"/>
  <c r="M36" i="12"/>
  <c r="L36" i="12" s="1"/>
  <c r="K36" i="12"/>
  <c r="J36" i="12"/>
  <c r="AM35" i="12"/>
  <c r="AF35" i="12"/>
  <c r="P35" i="12"/>
  <c r="O35" i="12" s="1"/>
  <c r="M35" i="12"/>
  <c r="L35" i="12"/>
  <c r="T35" i="12" s="1"/>
  <c r="K35" i="12"/>
  <c r="J35" i="12"/>
  <c r="AM34" i="12"/>
  <c r="T34" i="12"/>
  <c r="P34" i="12"/>
  <c r="AF34" i="12" s="1"/>
  <c r="O34" i="12"/>
  <c r="N34" i="12"/>
  <c r="M34" i="12"/>
  <c r="L34" i="12"/>
  <c r="K34" i="12"/>
  <c r="J34" i="12"/>
  <c r="AM33" i="12"/>
  <c r="AF33" i="12"/>
  <c r="P33" i="12"/>
  <c r="O33" i="12" s="1"/>
  <c r="M33" i="12"/>
  <c r="L33" i="12"/>
  <c r="T33" i="12" s="1"/>
  <c r="K33" i="12"/>
  <c r="J33" i="12"/>
  <c r="AM32" i="12"/>
  <c r="T32" i="12"/>
  <c r="P32" i="12"/>
  <c r="AF32" i="12" s="1"/>
  <c r="O32" i="12"/>
  <c r="N32" i="12"/>
  <c r="M32" i="12"/>
  <c r="L32" i="12"/>
  <c r="K32" i="12"/>
  <c r="J32" i="12"/>
  <c r="AM31" i="12"/>
  <c r="AF31" i="12"/>
  <c r="P31" i="12"/>
  <c r="O31" i="12" s="1"/>
  <c r="M31" i="12"/>
  <c r="L31" i="12"/>
  <c r="T31" i="12" s="1"/>
  <c r="K31" i="12"/>
  <c r="J31" i="12"/>
  <c r="AM30" i="12"/>
  <c r="T30" i="12"/>
  <c r="P30" i="12"/>
  <c r="AF30" i="12" s="1"/>
  <c r="O30" i="12"/>
  <c r="N30" i="12"/>
  <c r="M30" i="12"/>
  <c r="L30" i="12"/>
  <c r="K30" i="12"/>
  <c r="J30" i="12"/>
  <c r="AM29" i="12"/>
  <c r="AF29" i="12"/>
  <c r="P29" i="12"/>
  <c r="O29" i="12" s="1"/>
  <c r="M29" i="12"/>
  <c r="L29" i="12"/>
  <c r="T29" i="12" s="1"/>
  <c r="K29" i="12"/>
  <c r="J29" i="12"/>
  <c r="AM28" i="12"/>
  <c r="T28" i="12"/>
  <c r="P28" i="12"/>
  <c r="AF28" i="12" s="1"/>
  <c r="O28" i="12"/>
  <c r="N28" i="12"/>
  <c r="M28" i="12"/>
  <c r="L28" i="12"/>
  <c r="K28" i="12"/>
  <c r="J28" i="12"/>
  <c r="AM27" i="12"/>
  <c r="AF27" i="12"/>
  <c r="P27" i="12"/>
  <c r="O27" i="12" s="1"/>
  <c r="M27" i="12"/>
  <c r="L27" i="12"/>
  <c r="T27" i="12" s="1"/>
  <c r="K27" i="12"/>
  <c r="J27" i="12"/>
  <c r="AM26" i="12"/>
  <c r="T26" i="12"/>
  <c r="P26" i="12"/>
  <c r="AF26" i="12" s="1"/>
  <c r="O26" i="12"/>
  <c r="N26" i="12"/>
  <c r="M26" i="12"/>
  <c r="L26" i="12"/>
  <c r="K26" i="12"/>
  <c r="J26" i="12"/>
  <c r="AN26" i="12" s="1"/>
  <c r="AM25" i="12"/>
  <c r="AF25" i="12"/>
  <c r="AF38" i="12" s="1"/>
  <c r="P25" i="12"/>
  <c r="O25" i="12" s="1"/>
  <c r="M25" i="12"/>
  <c r="L25" i="12"/>
  <c r="T25" i="12" s="1"/>
  <c r="K25" i="12"/>
  <c r="J25" i="12"/>
  <c r="AN25" i="12" s="1"/>
  <c r="S18" i="12"/>
  <c r="S17" i="12"/>
  <c r="AF11" i="12"/>
  <c r="AE11" i="12"/>
  <c r="AF10" i="12"/>
  <c r="AE10" i="12"/>
  <c r="AF9" i="12"/>
  <c r="AE9" i="12"/>
  <c r="AF8" i="12"/>
  <c r="AE8" i="12"/>
  <c r="AF7" i="12"/>
  <c r="AE7" i="12"/>
  <c r="AF6" i="12"/>
  <c r="AE6" i="12"/>
  <c r="O36" i="11"/>
  <c r="O35" i="11"/>
  <c r="O34" i="11"/>
  <c r="O33" i="11"/>
  <c r="O32" i="11"/>
  <c r="O31" i="11"/>
  <c r="O30" i="11"/>
  <c r="O29" i="11"/>
  <c r="O28" i="11"/>
  <c r="O27" i="11"/>
  <c r="O26" i="11"/>
  <c r="O25" i="11"/>
  <c r="Z38" i="11"/>
  <c r="AM36" i="11"/>
  <c r="P36" i="11"/>
  <c r="AF36" i="11" s="1"/>
  <c r="M36" i="11"/>
  <c r="L36" i="11" s="1"/>
  <c r="K36" i="11"/>
  <c r="J36" i="11"/>
  <c r="AM35" i="11"/>
  <c r="P35" i="11"/>
  <c r="AF35" i="11" s="1"/>
  <c r="M35" i="11"/>
  <c r="L35" i="11" s="1"/>
  <c r="K35" i="11"/>
  <c r="J35" i="11"/>
  <c r="AM34" i="11"/>
  <c r="P34" i="11"/>
  <c r="AF34" i="11" s="1"/>
  <c r="M34" i="11"/>
  <c r="L34" i="11" s="1"/>
  <c r="K34" i="11"/>
  <c r="J34" i="11"/>
  <c r="AM33" i="11"/>
  <c r="P33" i="11"/>
  <c r="AF33" i="11" s="1"/>
  <c r="M33" i="11"/>
  <c r="L33" i="11" s="1"/>
  <c r="K33" i="11"/>
  <c r="J33" i="11"/>
  <c r="AM32" i="11"/>
  <c r="P32" i="11"/>
  <c r="AF32" i="11" s="1"/>
  <c r="M32" i="11"/>
  <c r="L32" i="11" s="1"/>
  <c r="K32" i="11"/>
  <c r="J32" i="11"/>
  <c r="AM31" i="11"/>
  <c r="P31" i="11"/>
  <c r="AF31" i="11" s="1"/>
  <c r="M31" i="11"/>
  <c r="L31" i="11" s="1"/>
  <c r="K31" i="11"/>
  <c r="J31" i="11"/>
  <c r="AM30" i="11"/>
  <c r="P30" i="11"/>
  <c r="AF30" i="11" s="1"/>
  <c r="M30" i="11"/>
  <c r="L30" i="11" s="1"/>
  <c r="K30" i="11"/>
  <c r="J30" i="11"/>
  <c r="AM29" i="11"/>
  <c r="P29" i="11"/>
  <c r="AF29" i="11" s="1"/>
  <c r="M29" i="11"/>
  <c r="L29" i="11" s="1"/>
  <c r="K29" i="11"/>
  <c r="J29" i="11"/>
  <c r="AM28" i="11"/>
  <c r="P28" i="11"/>
  <c r="AF28" i="11" s="1"/>
  <c r="M28" i="11"/>
  <c r="L28" i="11" s="1"/>
  <c r="K28" i="11"/>
  <c r="J28" i="11"/>
  <c r="AM27" i="11"/>
  <c r="P27" i="11"/>
  <c r="AF27" i="11" s="1"/>
  <c r="M27" i="11"/>
  <c r="L27" i="11" s="1"/>
  <c r="K27" i="11"/>
  <c r="J27" i="11"/>
  <c r="AM26" i="11"/>
  <c r="P26" i="11"/>
  <c r="AF26" i="11" s="1"/>
  <c r="M26" i="11"/>
  <c r="L26" i="11" s="1"/>
  <c r="K26" i="11"/>
  <c r="J26" i="11"/>
  <c r="AM25" i="11"/>
  <c r="P25" i="11"/>
  <c r="AF25" i="11" s="1"/>
  <c r="M25" i="11"/>
  <c r="L25" i="11" s="1"/>
  <c r="K25" i="11"/>
  <c r="J25" i="11"/>
  <c r="AN25" i="11" s="1"/>
  <c r="AN26" i="11" s="1"/>
  <c r="AN27" i="11" s="1"/>
  <c r="AN28" i="11" s="1"/>
  <c r="AN29" i="11" s="1"/>
  <c r="AN30" i="11" s="1"/>
  <c r="AN31" i="11" s="1"/>
  <c r="AN32" i="11" s="1"/>
  <c r="AN33" i="11" s="1"/>
  <c r="AN34" i="11" s="1"/>
  <c r="AN35" i="11" s="1"/>
  <c r="AN36" i="11" s="1"/>
  <c r="S17" i="11"/>
  <c r="S18" i="11" s="1"/>
  <c r="AF11" i="11"/>
  <c r="AE11" i="11"/>
  <c r="AF10" i="11"/>
  <c r="AE10" i="11"/>
  <c r="AF9" i="11"/>
  <c r="AE9" i="11"/>
  <c r="AF8" i="11"/>
  <c r="AE8" i="11"/>
  <c r="AF7" i="11"/>
  <c r="AE7" i="11"/>
  <c r="AF6" i="11"/>
  <c r="AE6" i="11"/>
  <c r="Z25" i="10"/>
  <c r="Z26" i="10"/>
  <c r="Z27" i="10"/>
  <c r="Z28" i="10"/>
  <c r="Z29" i="10"/>
  <c r="Z30" i="10"/>
  <c r="Z31" i="10"/>
  <c r="Z32" i="10"/>
  <c r="Z33" i="10"/>
  <c r="Z34" i="10"/>
  <c r="Z35" i="10"/>
  <c r="Z36" i="10"/>
  <c r="AM36" i="10"/>
  <c r="P36" i="10"/>
  <c r="O36" i="10" s="1"/>
  <c r="M36" i="10"/>
  <c r="L36" i="10" s="1"/>
  <c r="K36" i="10"/>
  <c r="J36" i="10"/>
  <c r="AM35" i="10"/>
  <c r="AF35" i="10"/>
  <c r="P35" i="10"/>
  <c r="O35" i="10"/>
  <c r="M35" i="10"/>
  <c r="L35" i="10" s="1"/>
  <c r="K35" i="10"/>
  <c r="J35" i="10"/>
  <c r="AM34" i="10"/>
  <c r="T34" i="10"/>
  <c r="P34" i="10"/>
  <c r="O34" i="10" s="1"/>
  <c r="M34" i="10"/>
  <c r="L34" i="10"/>
  <c r="N34" i="10" s="1"/>
  <c r="K34" i="10"/>
  <c r="J34" i="10"/>
  <c r="AM33" i="10"/>
  <c r="AF33" i="10"/>
  <c r="P33" i="10"/>
  <c r="O33" i="10"/>
  <c r="M33" i="10"/>
  <c r="L33" i="10" s="1"/>
  <c r="K33" i="10"/>
  <c r="J33" i="10"/>
  <c r="AM32" i="10"/>
  <c r="T32" i="10"/>
  <c r="P32" i="10"/>
  <c r="AF32" i="10" s="1"/>
  <c r="M32" i="10"/>
  <c r="L32" i="10"/>
  <c r="N32" i="10" s="1"/>
  <c r="K32" i="10"/>
  <c r="J32" i="10"/>
  <c r="AM31" i="10"/>
  <c r="AF31" i="10"/>
  <c r="P31" i="10"/>
  <c r="O31" i="10"/>
  <c r="M31" i="10"/>
  <c r="L31" i="10" s="1"/>
  <c r="K31" i="10"/>
  <c r="J31" i="10"/>
  <c r="AM30" i="10"/>
  <c r="P30" i="10"/>
  <c r="AF30" i="10" s="1"/>
  <c r="M30" i="10"/>
  <c r="L30" i="10"/>
  <c r="T30" i="10" s="1"/>
  <c r="K30" i="10"/>
  <c r="J30" i="10"/>
  <c r="AM29" i="10"/>
  <c r="AF29" i="10"/>
  <c r="P29" i="10"/>
  <c r="O29" i="10"/>
  <c r="M29" i="10"/>
  <c r="L29" i="10" s="1"/>
  <c r="K29" i="10"/>
  <c r="J29" i="10"/>
  <c r="AM28" i="10"/>
  <c r="T28" i="10"/>
  <c r="P28" i="10"/>
  <c r="O28" i="10" s="1"/>
  <c r="N28" i="10"/>
  <c r="M28" i="10"/>
  <c r="L28" i="10"/>
  <c r="K28" i="10"/>
  <c r="J28" i="10"/>
  <c r="AM27" i="10"/>
  <c r="AF27" i="10"/>
  <c r="P27" i="10"/>
  <c r="O27" i="10"/>
  <c r="M27" i="10"/>
  <c r="L27" i="10" s="1"/>
  <c r="K27" i="10"/>
  <c r="J27" i="10"/>
  <c r="AM26" i="10"/>
  <c r="T26" i="10"/>
  <c r="P26" i="10"/>
  <c r="O26" i="10" s="1"/>
  <c r="M26" i="10"/>
  <c r="L26" i="10"/>
  <c r="N26" i="10" s="1"/>
  <c r="K26" i="10"/>
  <c r="J26" i="10"/>
  <c r="AM25" i="10"/>
  <c r="AF25" i="10"/>
  <c r="Z38" i="10"/>
  <c r="P25" i="10"/>
  <c r="O25" i="10"/>
  <c r="M25" i="10"/>
  <c r="L25" i="10" s="1"/>
  <c r="K25" i="10"/>
  <c r="J25" i="10"/>
  <c r="AN25" i="10" s="1"/>
  <c r="S17" i="10"/>
  <c r="S18" i="10" s="1"/>
  <c r="AF11" i="10"/>
  <c r="AE11" i="10"/>
  <c r="AF10" i="10"/>
  <c r="AE10" i="10"/>
  <c r="AF9" i="10"/>
  <c r="AE9" i="10"/>
  <c r="AF8" i="10"/>
  <c r="AE8" i="10"/>
  <c r="AF7" i="10"/>
  <c r="AE7" i="10"/>
  <c r="AF6" i="10"/>
  <c r="AE6" i="10"/>
  <c r="Z25" i="9"/>
  <c r="Z26" i="9"/>
  <c r="Z27" i="9"/>
  <c r="Z28" i="9"/>
  <c r="Z38" i="9" s="1"/>
  <c r="Z29" i="9"/>
  <c r="Z30" i="9"/>
  <c r="Z31" i="9"/>
  <c r="Z32" i="9"/>
  <c r="Z33" i="9"/>
  <c r="Z34" i="9"/>
  <c r="Z35" i="9"/>
  <c r="Z36" i="9"/>
  <c r="AM36" i="9"/>
  <c r="P36" i="9"/>
  <c r="O36" i="9" s="1"/>
  <c r="M36" i="9"/>
  <c r="L36" i="9" s="1"/>
  <c r="K36" i="9"/>
  <c r="J36" i="9"/>
  <c r="AM35" i="9"/>
  <c r="AF35" i="9"/>
  <c r="P35" i="9"/>
  <c r="O35" i="9"/>
  <c r="M35" i="9"/>
  <c r="L35" i="9" s="1"/>
  <c r="K35" i="9"/>
  <c r="J35" i="9"/>
  <c r="AM34" i="9"/>
  <c r="T34" i="9"/>
  <c r="P34" i="9"/>
  <c r="O34" i="9" s="1"/>
  <c r="M34" i="9"/>
  <c r="L34" i="9"/>
  <c r="N34" i="9" s="1"/>
  <c r="K34" i="9"/>
  <c r="J34" i="9"/>
  <c r="AM33" i="9"/>
  <c r="AF33" i="9"/>
  <c r="P33" i="9"/>
  <c r="O33" i="9"/>
  <c r="M33" i="9"/>
  <c r="L33" i="9" s="1"/>
  <c r="K33" i="9"/>
  <c r="J33" i="9"/>
  <c r="AM32" i="9"/>
  <c r="P32" i="9"/>
  <c r="AF32" i="9" s="1"/>
  <c r="M32" i="9"/>
  <c r="L32" i="9"/>
  <c r="T32" i="9" s="1"/>
  <c r="K32" i="9"/>
  <c r="J32" i="9"/>
  <c r="AM31" i="9"/>
  <c r="AF31" i="9"/>
  <c r="P31" i="9"/>
  <c r="O31" i="9"/>
  <c r="M31" i="9"/>
  <c r="L31" i="9" s="1"/>
  <c r="K31" i="9"/>
  <c r="J31" i="9"/>
  <c r="AM30" i="9"/>
  <c r="P30" i="9"/>
  <c r="AF30" i="9" s="1"/>
  <c r="N30" i="9"/>
  <c r="M30" i="9"/>
  <c r="L30" i="9"/>
  <c r="T30" i="9" s="1"/>
  <c r="K30" i="9"/>
  <c r="J30" i="9"/>
  <c r="AM29" i="9"/>
  <c r="AF29" i="9"/>
  <c r="P29" i="9"/>
  <c r="O29" i="9"/>
  <c r="M29" i="9"/>
  <c r="L29" i="9" s="1"/>
  <c r="K29" i="9"/>
  <c r="J29" i="9"/>
  <c r="AM28" i="9"/>
  <c r="T28" i="9"/>
  <c r="P28" i="9"/>
  <c r="O28" i="9" s="1"/>
  <c r="N28" i="9"/>
  <c r="M28" i="9"/>
  <c r="L28" i="9"/>
  <c r="K28" i="9"/>
  <c r="J28" i="9"/>
  <c r="AM27" i="9"/>
  <c r="AF27" i="9"/>
  <c r="P27" i="9"/>
  <c r="O27" i="9"/>
  <c r="M27" i="9"/>
  <c r="L27" i="9" s="1"/>
  <c r="K27" i="9"/>
  <c r="J27" i="9"/>
  <c r="AM26" i="9"/>
  <c r="T26" i="9"/>
  <c r="P26" i="9"/>
  <c r="O26" i="9" s="1"/>
  <c r="M26" i="9"/>
  <c r="L26" i="9"/>
  <c r="N26" i="9" s="1"/>
  <c r="K26" i="9"/>
  <c r="J26" i="9"/>
  <c r="AM25" i="9"/>
  <c r="AF25" i="9"/>
  <c r="P25" i="9"/>
  <c r="O25" i="9"/>
  <c r="M25" i="9"/>
  <c r="L25" i="9" s="1"/>
  <c r="K25" i="9"/>
  <c r="J25" i="9"/>
  <c r="AN25" i="9" s="1"/>
  <c r="S17" i="9"/>
  <c r="S18" i="9" s="1"/>
  <c r="AF11" i="9"/>
  <c r="AE11" i="9"/>
  <c r="AF10" i="9"/>
  <c r="AE10" i="9"/>
  <c r="AF9" i="9"/>
  <c r="AE9" i="9"/>
  <c r="AF8" i="9"/>
  <c r="AE8" i="9"/>
  <c r="AF7" i="9"/>
  <c r="AE7" i="9"/>
  <c r="AF6" i="9"/>
  <c r="AE6" i="9"/>
  <c r="Z25" i="8"/>
  <c r="Z26" i="8"/>
  <c r="Z27" i="8"/>
  <c r="Z28" i="8"/>
  <c r="Z29" i="8"/>
  <c r="Z30" i="8"/>
  <c r="Z31" i="8"/>
  <c r="Z32" i="8"/>
  <c r="Z33" i="8"/>
  <c r="Z34" i="8"/>
  <c r="Z35" i="8"/>
  <c r="Z38" i="8" s="1"/>
  <c r="Z36" i="8"/>
  <c r="AM36" i="8"/>
  <c r="P36" i="8"/>
  <c r="AF36" i="8" s="1"/>
  <c r="O36" i="8"/>
  <c r="M36" i="8"/>
  <c r="L36" i="8" s="1"/>
  <c r="K36" i="8"/>
  <c r="J36" i="8"/>
  <c r="AM35" i="8"/>
  <c r="P35" i="8"/>
  <c r="AF35" i="8" s="1"/>
  <c r="O35" i="8"/>
  <c r="N35" i="8"/>
  <c r="M35" i="8"/>
  <c r="L35" i="8"/>
  <c r="T35" i="8" s="1"/>
  <c r="K35" i="8"/>
  <c r="J35" i="8"/>
  <c r="AM34" i="8"/>
  <c r="AF34" i="8"/>
  <c r="P34" i="8"/>
  <c r="O34" i="8"/>
  <c r="N34" i="8"/>
  <c r="M34" i="8"/>
  <c r="L34" i="8"/>
  <c r="T34" i="8" s="1"/>
  <c r="K34" i="8"/>
  <c r="J34" i="8"/>
  <c r="AM33" i="8"/>
  <c r="P33" i="8"/>
  <c r="AF33" i="8" s="1"/>
  <c r="M33" i="8"/>
  <c r="L33" i="8"/>
  <c r="N33" i="8" s="1"/>
  <c r="K33" i="8"/>
  <c r="J33" i="8"/>
  <c r="AM32" i="8"/>
  <c r="P32" i="8"/>
  <c r="AF32" i="8" s="1"/>
  <c r="M32" i="8"/>
  <c r="K32" i="8"/>
  <c r="J32" i="8"/>
  <c r="AM31" i="8"/>
  <c r="P31" i="8"/>
  <c r="O31" i="8" s="1"/>
  <c r="M31" i="8"/>
  <c r="L31" i="8" s="1"/>
  <c r="K31" i="8"/>
  <c r="J31" i="8"/>
  <c r="AM30" i="8"/>
  <c r="AF30" i="8"/>
  <c r="P30" i="8"/>
  <c r="O30" i="8"/>
  <c r="M30" i="8"/>
  <c r="L30" i="8" s="1"/>
  <c r="K30" i="8"/>
  <c r="J30" i="8"/>
  <c r="AM29" i="8"/>
  <c r="P29" i="8"/>
  <c r="O29" i="8" s="1"/>
  <c r="M29" i="8"/>
  <c r="L29" i="8"/>
  <c r="T29" i="8" s="1"/>
  <c r="K29" i="8"/>
  <c r="J29" i="8"/>
  <c r="AM28" i="8"/>
  <c r="P28" i="8"/>
  <c r="AF28" i="8" s="1"/>
  <c r="O28" i="8"/>
  <c r="M28" i="8"/>
  <c r="L28" i="8" s="1"/>
  <c r="K28" i="8"/>
  <c r="J28" i="8"/>
  <c r="AM27" i="8"/>
  <c r="T27" i="8"/>
  <c r="P27" i="8"/>
  <c r="AF27" i="8" s="1"/>
  <c r="O27" i="8"/>
  <c r="N27" i="8"/>
  <c r="M27" i="8"/>
  <c r="L27" i="8"/>
  <c r="K27" i="8"/>
  <c r="J27" i="8"/>
  <c r="AM26" i="8"/>
  <c r="AF26" i="8"/>
  <c r="P26" i="8"/>
  <c r="O26" i="8"/>
  <c r="N26" i="8"/>
  <c r="M26" i="8"/>
  <c r="L26" i="8"/>
  <c r="T26" i="8" s="1"/>
  <c r="K26" i="8"/>
  <c r="J26" i="8"/>
  <c r="AN26" i="8" s="1"/>
  <c r="AM25" i="8"/>
  <c r="P25" i="8"/>
  <c r="AF25" i="8" s="1"/>
  <c r="M25" i="8"/>
  <c r="L25" i="8"/>
  <c r="N25" i="8" s="1"/>
  <c r="K25" i="8"/>
  <c r="J25" i="8"/>
  <c r="AN25" i="8" s="1"/>
  <c r="S18" i="8"/>
  <c r="S17" i="8"/>
  <c r="AF11" i="8"/>
  <c r="AE11" i="8"/>
  <c r="AF10" i="8"/>
  <c r="AE10" i="8"/>
  <c r="AF9" i="8"/>
  <c r="AE9" i="8"/>
  <c r="AF8" i="8"/>
  <c r="AE8" i="8"/>
  <c r="AF7" i="8"/>
  <c r="AE7" i="8"/>
  <c r="AF6" i="8"/>
  <c r="AE6" i="8"/>
  <c r="Z36" i="7"/>
  <c r="Z35" i="7"/>
  <c r="Z34" i="7"/>
  <c r="Z33" i="7"/>
  <c r="Z32" i="7"/>
  <c r="Z31" i="7"/>
  <c r="Z30" i="7"/>
  <c r="Z29" i="7"/>
  <c r="Z28" i="7"/>
  <c r="Z27" i="7"/>
  <c r="Z26" i="7"/>
  <c r="Z25" i="7"/>
  <c r="Z38" i="7"/>
  <c r="AM36" i="7"/>
  <c r="P36" i="7"/>
  <c r="AF36" i="7" s="1"/>
  <c r="O36" i="7"/>
  <c r="M36" i="7"/>
  <c r="L36" i="7"/>
  <c r="N36" i="7" s="1"/>
  <c r="K36" i="7"/>
  <c r="J36" i="7"/>
  <c r="AM35" i="7"/>
  <c r="P35" i="7"/>
  <c r="AF35" i="7" s="1"/>
  <c r="M35" i="7"/>
  <c r="L35" i="7"/>
  <c r="T35" i="7" s="1"/>
  <c r="K35" i="7"/>
  <c r="J35" i="7"/>
  <c r="AM34" i="7"/>
  <c r="P34" i="7"/>
  <c r="AF34" i="7" s="1"/>
  <c r="O34" i="7"/>
  <c r="M34" i="7"/>
  <c r="L34" i="7"/>
  <c r="N34" i="7" s="1"/>
  <c r="K34" i="7"/>
  <c r="J34" i="7"/>
  <c r="AM33" i="7"/>
  <c r="P33" i="7"/>
  <c r="AF33" i="7" s="1"/>
  <c r="M33" i="7"/>
  <c r="L33" i="7"/>
  <c r="T33" i="7" s="1"/>
  <c r="K33" i="7"/>
  <c r="J33" i="7"/>
  <c r="AM32" i="7"/>
  <c r="P32" i="7"/>
  <c r="AF32" i="7" s="1"/>
  <c r="O32" i="7"/>
  <c r="M32" i="7"/>
  <c r="L32" i="7"/>
  <c r="N32" i="7" s="1"/>
  <c r="K32" i="7"/>
  <c r="J32" i="7"/>
  <c r="AM31" i="7"/>
  <c r="P31" i="7"/>
  <c r="AF31" i="7" s="1"/>
  <c r="M31" i="7"/>
  <c r="L31" i="7"/>
  <c r="T31" i="7" s="1"/>
  <c r="K31" i="7"/>
  <c r="J31" i="7"/>
  <c r="AM30" i="7"/>
  <c r="P30" i="7"/>
  <c r="AF30" i="7" s="1"/>
  <c r="O30" i="7"/>
  <c r="M30" i="7"/>
  <c r="L30" i="7"/>
  <c r="N30" i="7" s="1"/>
  <c r="K30" i="7"/>
  <c r="J30" i="7"/>
  <c r="AM29" i="7"/>
  <c r="P29" i="7"/>
  <c r="AF29" i="7" s="1"/>
  <c r="M29" i="7"/>
  <c r="L29" i="7"/>
  <c r="T29" i="7" s="1"/>
  <c r="K29" i="7"/>
  <c r="J29" i="7"/>
  <c r="AM28" i="7"/>
  <c r="P28" i="7"/>
  <c r="AF28" i="7" s="1"/>
  <c r="O28" i="7"/>
  <c r="M28" i="7"/>
  <c r="L28" i="7"/>
  <c r="N28" i="7" s="1"/>
  <c r="K28" i="7"/>
  <c r="J28" i="7"/>
  <c r="AM27" i="7"/>
  <c r="P27" i="7"/>
  <c r="AF27" i="7" s="1"/>
  <c r="M27" i="7"/>
  <c r="L27" i="7"/>
  <c r="T27" i="7" s="1"/>
  <c r="K27" i="7"/>
  <c r="J27" i="7"/>
  <c r="AN27" i="7" s="1"/>
  <c r="AN28" i="7" s="1"/>
  <c r="AM26" i="7"/>
  <c r="P26" i="7"/>
  <c r="AF26" i="7" s="1"/>
  <c r="O26" i="7"/>
  <c r="M26" i="7"/>
  <c r="L26" i="7"/>
  <c r="N26" i="7" s="1"/>
  <c r="K26" i="7"/>
  <c r="J26" i="7"/>
  <c r="AM25" i="7"/>
  <c r="P25" i="7"/>
  <c r="AF25" i="7" s="1"/>
  <c r="M25" i="7"/>
  <c r="M21" i="7" s="1"/>
  <c r="L25" i="7"/>
  <c r="T25" i="7" s="1"/>
  <c r="K25" i="7"/>
  <c r="J25" i="7"/>
  <c r="AN25" i="7" s="1"/>
  <c r="AN26" i="7" s="1"/>
  <c r="S18" i="7"/>
  <c r="S17" i="7"/>
  <c r="AF11" i="7"/>
  <c r="AE11" i="7"/>
  <c r="AF10" i="7"/>
  <c r="AE10" i="7"/>
  <c r="AF9" i="7"/>
  <c r="AE9" i="7"/>
  <c r="AF8" i="7"/>
  <c r="AE8" i="7"/>
  <c r="AF7" i="7"/>
  <c r="AE7" i="7"/>
  <c r="AF6" i="7"/>
  <c r="AE6" i="7"/>
  <c r="C13" i="6"/>
  <c r="D13" i="6"/>
  <c r="AA36" i="15"/>
  <c r="AG35" i="15"/>
  <c r="AC34" i="15"/>
  <c r="AA28" i="15"/>
  <c r="AG27" i="15"/>
  <c r="AC26" i="15"/>
  <c r="AA34" i="14"/>
  <c r="AA31" i="14"/>
  <c r="AA28" i="13"/>
  <c r="AG36" i="13"/>
  <c r="AA31" i="13"/>
  <c r="AC28" i="13"/>
  <c r="AG33" i="12"/>
  <c r="AC36" i="12"/>
  <c r="AG30" i="12"/>
  <c r="AA25" i="12"/>
  <c r="W34" i="12"/>
  <c r="AG32" i="11"/>
  <c r="AA34" i="11"/>
  <c r="AC29" i="11"/>
  <c r="AA25" i="11"/>
  <c r="AG35" i="10"/>
  <c r="AC32" i="10"/>
  <c r="AA33" i="10"/>
  <c r="AC33" i="10"/>
  <c r="AA25" i="10"/>
  <c r="AA28" i="9"/>
  <c r="AA26" i="9"/>
  <c r="AA32" i="9"/>
  <c r="AA27" i="9"/>
  <c r="W34" i="9"/>
  <c r="AA31" i="8"/>
  <c r="AC35" i="8"/>
  <c r="AA35" i="8"/>
  <c r="AC31" i="8"/>
  <c r="AA28" i="7"/>
  <c r="AC25" i="7"/>
  <c r="AA33" i="7"/>
  <c r="AC34" i="7"/>
  <c r="AG36" i="7"/>
  <c r="AC30" i="7"/>
  <c r="AC27" i="15"/>
  <c r="AA25" i="14"/>
  <c r="AG30" i="13"/>
  <c r="AC33" i="12"/>
  <c r="AA35" i="12"/>
  <c r="AG34" i="11"/>
  <c r="AC32" i="11"/>
  <c r="AG36" i="10"/>
  <c r="AA31" i="9"/>
  <c r="AC35" i="9"/>
  <c r="AG35" i="8"/>
  <c r="AC27" i="8"/>
  <c r="W27" i="8"/>
  <c r="AC33" i="11"/>
  <c r="AA35" i="10"/>
  <c r="AA33" i="9"/>
  <c r="AC28" i="8"/>
  <c r="AA31" i="15"/>
  <c r="AG30" i="15"/>
  <c r="AC29" i="15"/>
  <c r="AA32" i="14"/>
  <c r="AA29" i="14"/>
  <c r="AA26" i="13"/>
  <c r="AG34" i="13"/>
  <c r="AA29" i="13"/>
  <c r="AC26" i="13"/>
  <c r="AC26" i="12"/>
  <c r="AC32" i="12"/>
  <c r="AG28" i="12"/>
  <c r="AC34" i="12"/>
  <c r="W30" i="12"/>
  <c r="AG30" i="11"/>
  <c r="AA32" i="11"/>
  <c r="AC27" i="11"/>
  <c r="AC36" i="11"/>
  <c r="AC34" i="10"/>
  <c r="AA26" i="10"/>
  <c r="AA32" i="10"/>
  <c r="AA27" i="10"/>
  <c r="W28" i="10"/>
  <c r="AG27" i="9"/>
  <c r="AG25" i="9"/>
  <c r="AG31" i="9"/>
  <c r="AC31" i="9"/>
  <c r="W26" i="9"/>
  <c r="AG30" i="8"/>
  <c r="AA29" i="8"/>
  <c r="AG34" i="8"/>
  <c r="AA25" i="8"/>
  <c r="AA26" i="7"/>
  <c r="AA31" i="7"/>
  <c r="AA25" i="13"/>
  <c r="AA28" i="11"/>
  <c r="AC36" i="10"/>
  <c r="AC25" i="9"/>
  <c r="AG29" i="8"/>
  <c r="AC33" i="7"/>
  <c r="W32" i="12"/>
  <c r="AG35" i="9"/>
  <c r="AG31" i="8"/>
  <c r="AC28" i="7"/>
  <c r="AA34" i="15"/>
  <c r="AG33" i="15"/>
  <c r="AC32" i="15"/>
  <c r="AA26" i="15"/>
  <c r="AG25" i="15"/>
  <c r="AA30" i="14"/>
  <c r="AA27" i="14"/>
  <c r="AC35" i="13"/>
  <c r="AG32" i="13"/>
  <c r="AA27" i="13"/>
  <c r="AA36" i="12"/>
  <c r="AC35" i="12"/>
  <c r="AG29" i="12"/>
  <c r="AG26" i="12"/>
  <c r="AC30" i="12"/>
  <c r="W26" i="12"/>
  <c r="AG29" i="11"/>
  <c r="AA30" i="11"/>
  <c r="AC25" i="11"/>
  <c r="AC34" i="11"/>
  <c r="AA28" i="10"/>
  <c r="AG25" i="10"/>
  <c r="AG31" i="10"/>
  <c r="AG26" i="10"/>
  <c r="W34" i="10"/>
  <c r="AC26" i="9"/>
  <c r="AG36" i="9"/>
  <c r="AC30" i="9"/>
  <c r="AC36" i="9"/>
  <c r="AA36" i="8"/>
  <c r="AC29" i="8"/>
  <c r="AG28" i="8"/>
  <c r="AC33" i="8"/>
  <c r="AA30" i="8"/>
  <c r="AC26" i="7"/>
  <c r="AG34" i="7"/>
  <c r="AA29" i="7"/>
  <c r="AA28" i="14"/>
  <c r="AC33" i="13"/>
  <c r="AA34" i="12"/>
  <c r="AG27" i="12"/>
  <c r="AC28" i="12"/>
  <c r="AG36" i="11"/>
  <c r="AA35" i="11"/>
  <c r="AG27" i="10"/>
  <c r="AC30" i="10"/>
  <c r="V32" i="10"/>
  <c r="AA30" i="9"/>
  <c r="AA27" i="8"/>
  <c r="AG32" i="7"/>
  <c r="AA27" i="7"/>
  <c r="AG27" i="11"/>
  <c r="AA34" i="10"/>
  <c r="AG33" i="9"/>
  <c r="AG27" i="8"/>
  <c r="AC35" i="7"/>
  <c r="AC35" i="15"/>
  <c r="AA29" i="15"/>
  <c r="AA32" i="15"/>
  <c r="AG31" i="15"/>
  <c r="AC30" i="15"/>
  <c r="AA26" i="14"/>
  <c r="AA36" i="13"/>
  <c r="AC31" i="13"/>
  <c r="AG28" i="13"/>
  <c r="AC36" i="13"/>
  <c r="AA32" i="12"/>
  <c r="AC31" i="12"/>
  <c r="AG25" i="12"/>
  <c r="AA33" i="12"/>
  <c r="AG35" i="12"/>
  <c r="AG26" i="11"/>
  <c r="AG28" i="11"/>
  <c r="AA26" i="11"/>
  <c r="AA33" i="11"/>
  <c r="AC30" i="11"/>
  <c r="AC26" i="10"/>
  <c r="AC35" i="10"/>
  <c r="AC25" i="10"/>
  <c r="AA30" i="10"/>
  <c r="W26" i="10"/>
  <c r="AC29" i="9"/>
  <c r="AA29" i="9"/>
  <c r="AA25" i="9"/>
  <c r="AG29" i="9"/>
  <c r="AC34" i="8"/>
  <c r="AA34" i="8"/>
  <c r="AC36" i="8"/>
  <c r="AG26" i="8"/>
  <c r="AA36" i="7"/>
  <c r="AC31" i="7"/>
  <c r="AG30" i="7"/>
  <c r="AA25" i="7"/>
  <c r="AA32" i="13"/>
  <c r="AA35" i="13"/>
  <c r="AA28" i="12"/>
  <c r="AA29" i="12"/>
  <c r="AA29" i="11"/>
  <c r="AG28" i="10"/>
  <c r="AG34" i="9"/>
  <c r="AA32" i="7"/>
  <c r="AA33" i="15"/>
  <c r="AA35" i="15"/>
  <c r="AG34" i="15"/>
  <c r="AC33" i="15"/>
  <c r="AA27" i="15"/>
  <c r="AG26" i="15"/>
  <c r="AC25" i="15"/>
  <c r="AC36" i="14"/>
  <c r="AA34" i="13"/>
  <c r="AC29" i="13"/>
  <c r="AG26" i="13"/>
  <c r="AC34" i="13"/>
  <c r="AA30" i="12"/>
  <c r="AC29" i="12"/>
  <c r="AG36" i="12"/>
  <c r="AA31" i="12"/>
  <c r="AG31" i="12"/>
  <c r="AG31" i="11"/>
  <c r="AG35" i="11"/>
  <c r="AC35" i="11"/>
  <c r="AA31" i="11"/>
  <c r="AC28" i="11"/>
  <c r="AA31" i="10"/>
  <c r="AA29" i="10"/>
  <c r="AC29" i="10"/>
  <c r="AG29" i="10"/>
  <c r="AA36" i="9"/>
  <c r="AA34" i="9"/>
  <c r="AG28" i="9"/>
  <c r="AA35" i="9"/>
  <c r="AC28" i="9"/>
  <c r="AA28" i="8"/>
  <c r="AC32" i="8"/>
  <c r="AA32" i="8"/>
  <c r="AC25" i="8"/>
  <c r="AA34" i="7"/>
  <c r="AC29" i="7"/>
  <c r="AG28" i="7"/>
  <c r="AC32" i="7"/>
  <c r="AC36" i="15"/>
  <c r="AA30" i="15"/>
  <c r="AG29" i="15"/>
  <c r="AC28" i="15"/>
  <c r="AA35" i="14"/>
  <c r="AC27" i="13"/>
  <c r="AC32" i="13"/>
  <c r="AG34" i="12"/>
  <c r="AG25" i="11"/>
  <c r="AC26" i="11"/>
  <c r="AC28" i="10"/>
  <c r="AC27" i="9"/>
  <c r="AA26" i="8"/>
  <c r="AG26" i="7"/>
  <c r="AC27" i="12"/>
  <c r="AG32" i="15"/>
  <c r="W29" i="15"/>
  <c r="AA26" i="12"/>
  <c r="AA27" i="11"/>
  <c r="AG26" i="9"/>
  <c r="AC27" i="7"/>
  <c r="AC25" i="12"/>
  <c r="AA36" i="10"/>
  <c r="AC33" i="9"/>
  <c r="AA35" i="7"/>
  <c r="AA36" i="14"/>
  <c r="AG33" i="10"/>
  <c r="W28" i="9"/>
  <c r="AC32" i="9"/>
  <c r="AA25" i="15"/>
  <c r="AG32" i="12"/>
  <c r="AC36" i="7"/>
  <c r="AA33" i="8"/>
  <c r="AC31" i="15"/>
  <c r="AA33" i="14"/>
  <c r="AA27" i="12"/>
  <c r="AC27" i="10"/>
  <c r="AC26" i="8"/>
  <c r="AA33" i="13"/>
  <c r="AC30" i="13"/>
  <c r="AA30" i="13"/>
  <c r="W28" i="12"/>
  <c r="AG34" i="10"/>
  <c r="AG36" i="8"/>
  <c r="AA36" i="11"/>
  <c r="AA30" i="7"/>
  <c r="W31" i="15"/>
  <c r="AC25" i="13"/>
  <c r="AG33" i="11"/>
  <c r="AC31" i="10"/>
  <c r="AC30" i="8"/>
  <c r="AC34" i="9"/>
  <c r="AC31" i="11"/>
  <c r="V29" i="15"/>
  <c r="AC25" i="14"/>
  <c r="X29" i="15" l="1"/>
  <c r="AB29" i="15" s="1"/>
  <c r="AA38" i="15"/>
  <c r="AC38" i="15"/>
  <c r="AN27" i="15"/>
  <c r="AN28" i="15" s="1"/>
  <c r="AN29" i="15" s="1"/>
  <c r="AN30" i="15" s="1"/>
  <c r="AN31" i="15" s="1"/>
  <c r="AN32" i="15" s="1"/>
  <c r="AN33" i="15" s="1"/>
  <c r="AN34" i="15" s="1"/>
  <c r="AN35" i="15" s="1"/>
  <c r="AN36" i="15" s="1"/>
  <c r="N25" i="15"/>
  <c r="T25" i="15"/>
  <c r="O28" i="15"/>
  <c r="AF28" i="15"/>
  <c r="T32" i="15"/>
  <c r="N32" i="15"/>
  <c r="Z38" i="15"/>
  <c r="T27" i="15"/>
  <c r="N27" i="15"/>
  <c r="N33" i="15"/>
  <c r="T33" i="15"/>
  <c r="N34" i="15"/>
  <c r="T34" i="15"/>
  <c r="T35" i="15"/>
  <c r="N35" i="15"/>
  <c r="O36" i="15"/>
  <c r="AF36" i="15"/>
  <c r="M21" i="15"/>
  <c r="T28" i="15"/>
  <c r="N29" i="15"/>
  <c r="AA38" i="14"/>
  <c r="AN26" i="14"/>
  <c r="AF38" i="14"/>
  <c r="AN27" i="14"/>
  <c r="AN28" i="14" s="1"/>
  <c r="AN29" i="14" s="1"/>
  <c r="AN30" i="14" s="1"/>
  <c r="AN31" i="14" s="1"/>
  <c r="AN32" i="14" s="1"/>
  <c r="AN33" i="14" s="1"/>
  <c r="AN34" i="14" s="1"/>
  <c r="AN35" i="14" s="1"/>
  <c r="AN36" i="14" s="1"/>
  <c r="O26" i="14"/>
  <c r="O28" i="14"/>
  <c r="O30" i="14"/>
  <c r="O32" i="14"/>
  <c r="O34" i="14"/>
  <c r="O36" i="14"/>
  <c r="M25" i="14"/>
  <c r="M27" i="14"/>
  <c r="N27" i="14" s="1"/>
  <c r="M29" i="14"/>
  <c r="N29" i="14" s="1"/>
  <c r="M31" i="14"/>
  <c r="M33" i="14"/>
  <c r="N33" i="14" s="1"/>
  <c r="M35" i="14"/>
  <c r="T26" i="14"/>
  <c r="T28" i="14"/>
  <c r="T30" i="14"/>
  <c r="T32" i="14"/>
  <c r="T34" i="14"/>
  <c r="N35" i="14"/>
  <c r="T36" i="14"/>
  <c r="O25" i="14"/>
  <c r="O27" i="14"/>
  <c r="O29" i="14"/>
  <c r="O31" i="14"/>
  <c r="O33" i="14"/>
  <c r="O35" i="14"/>
  <c r="M26" i="14"/>
  <c r="M28" i="14"/>
  <c r="N28" i="14" s="1"/>
  <c r="M30" i="14"/>
  <c r="M32" i="14"/>
  <c r="M34" i="14"/>
  <c r="N34" i="14" s="1"/>
  <c r="AA38" i="13"/>
  <c r="AC38" i="13"/>
  <c r="T31" i="13"/>
  <c r="N31" i="13"/>
  <c r="AN33" i="13"/>
  <c r="AN34" i="13" s="1"/>
  <c r="AN35" i="13" s="1"/>
  <c r="AN36" i="13" s="1"/>
  <c r="T27" i="13"/>
  <c r="N27" i="13"/>
  <c r="T35" i="13"/>
  <c r="N35" i="13"/>
  <c r="T29" i="13"/>
  <c r="N29" i="13"/>
  <c r="T33" i="13"/>
  <c r="N33" i="13"/>
  <c r="AF38" i="13"/>
  <c r="M21" i="13"/>
  <c r="T26" i="13"/>
  <c r="T28" i="13"/>
  <c r="T30" i="13"/>
  <c r="T32" i="13"/>
  <c r="T34" i="13"/>
  <c r="T36" i="13"/>
  <c r="O25" i="13"/>
  <c r="O27" i="13"/>
  <c r="O29" i="13"/>
  <c r="O31" i="13"/>
  <c r="O33" i="13"/>
  <c r="O35" i="13"/>
  <c r="AA38" i="12"/>
  <c r="AG38" i="12"/>
  <c r="AC38" i="12"/>
  <c r="AN27" i="12"/>
  <c r="AN29" i="12"/>
  <c r="AN30" i="12" s="1"/>
  <c r="AN31" i="12" s="1"/>
  <c r="AN32" i="12" s="1"/>
  <c r="AN33" i="12" s="1"/>
  <c r="AN34" i="12" s="1"/>
  <c r="AN35" i="12" s="1"/>
  <c r="AN36" i="12" s="1"/>
  <c r="AN28" i="12"/>
  <c r="N36" i="12"/>
  <c r="T36" i="12"/>
  <c r="M21" i="12"/>
  <c r="N25" i="12"/>
  <c r="N27" i="12"/>
  <c r="N29" i="12"/>
  <c r="N31" i="12"/>
  <c r="N33" i="12"/>
  <c r="N35" i="12"/>
  <c r="AA38" i="11"/>
  <c r="AC38" i="11"/>
  <c r="T35" i="11"/>
  <c r="N35" i="11"/>
  <c r="N28" i="11"/>
  <c r="T28" i="11"/>
  <c r="AF38" i="11"/>
  <c r="T31" i="11"/>
  <c r="N31" i="11"/>
  <c r="N34" i="11"/>
  <c r="T34" i="11"/>
  <c r="T33" i="11"/>
  <c r="N33" i="11"/>
  <c r="N26" i="11"/>
  <c r="T26" i="11"/>
  <c r="T25" i="11"/>
  <c r="M21" i="11"/>
  <c r="N25" i="11"/>
  <c r="T27" i="11"/>
  <c r="N27" i="11"/>
  <c r="N30" i="11"/>
  <c r="T30" i="11"/>
  <c r="N36" i="11"/>
  <c r="T36" i="11"/>
  <c r="T29" i="11"/>
  <c r="N29" i="11"/>
  <c r="N32" i="11"/>
  <c r="T32" i="11"/>
  <c r="AA38" i="10"/>
  <c r="AC38" i="10"/>
  <c r="AN26" i="10"/>
  <c r="AN27" i="10"/>
  <c r="AN28" i="10" s="1"/>
  <c r="AN29" i="10" s="1"/>
  <c r="AN30" i="10" s="1"/>
  <c r="AN31" i="10" s="1"/>
  <c r="AN32" i="10" s="1"/>
  <c r="AN33" i="10" s="1"/>
  <c r="AN34" i="10" s="1"/>
  <c r="AN35" i="10" s="1"/>
  <c r="AN36" i="10" s="1"/>
  <c r="T29" i="10"/>
  <c r="N29" i="10"/>
  <c r="N25" i="10"/>
  <c r="T25" i="10"/>
  <c r="T27" i="10"/>
  <c r="N27" i="10"/>
  <c r="N31" i="10"/>
  <c r="T31" i="10"/>
  <c r="N33" i="10"/>
  <c r="T33" i="10"/>
  <c r="T35" i="10"/>
  <c r="N35" i="10"/>
  <c r="N36" i="10"/>
  <c r="T36" i="10"/>
  <c r="N30" i="10"/>
  <c r="AF26" i="10"/>
  <c r="O30" i="10"/>
  <c r="AF34" i="10"/>
  <c r="AF28" i="10"/>
  <c r="O32" i="10"/>
  <c r="AF36" i="10"/>
  <c r="M21" i="10"/>
  <c r="AA38" i="9"/>
  <c r="AC38" i="9"/>
  <c r="T29" i="9"/>
  <c r="N29" i="9"/>
  <c r="N31" i="9"/>
  <c r="T31" i="9"/>
  <c r="AN26" i="9"/>
  <c r="AN27" i="9"/>
  <c r="AN28" i="9" s="1"/>
  <c r="AN29" i="9" s="1"/>
  <c r="AN30" i="9" s="1"/>
  <c r="AN31" i="9" s="1"/>
  <c r="AN32" i="9" s="1"/>
  <c r="AN33" i="9" s="1"/>
  <c r="AN34" i="9" s="1"/>
  <c r="AN35" i="9" s="1"/>
  <c r="AN36" i="9" s="1"/>
  <c r="N25" i="9"/>
  <c r="T25" i="9"/>
  <c r="T27" i="9"/>
  <c r="N27" i="9"/>
  <c r="N33" i="9"/>
  <c r="T33" i="9"/>
  <c r="T35" i="9"/>
  <c r="N35" i="9"/>
  <c r="N36" i="9"/>
  <c r="T36" i="9"/>
  <c r="AF26" i="9"/>
  <c r="O30" i="9"/>
  <c r="AF34" i="9"/>
  <c r="N32" i="9"/>
  <c r="AF28" i="9"/>
  <c r="O32" i="9"/>
  <c r="AF36" i="9"/>
  <c r="AF38" i="9" s="1"/>
  <c r="M21" i="9"/>
  <c r="AA38" i="8"/>
  <c r="AC38" i="8"/>
  <c r="N28" i="8"/>
  <c r="T28" i="8"/>
  <c r="AN27" i="8"/>
  <c r="N36" i="8"/>
  <c r="T36" i="8"/>
  <c r="AN28" i="8"/>
  <c r="AN29" i="8" s="1"/>
  <c r="AN30" i="8" s="1"/>
  <c r="AN31" i="8" s="1"/>
  <c r="AN32" i="8" s="1"/>
  <c r="AN33" i="8" s="1"/>
  <c r="AN34" i="8" s="1"/>
  <c r="AN35" i="8" s="1"/>
  <c r="AN36" i="8" s="1"/>
  <c r="T30" i="8"/>
  <c r="N30" i="8"/>
  <c r="N31" i="8"/>
  <c r="T31" i="8"/>
  <c r="O25" i="8"/>
  <c r="AF29" i="8"/>
  <c r="L32" i="8"/>
  <c r="O33" i="8"/>
  <c r="AF31" i="8"/>
  <c r="T25" i="8"/>
  <c r="N29" i="8"/>
  <c r="O32" i="8"/>
  <c r="T33" i="8"/>
  <c r="AA38" i="7"/>
  <c r="AC38" i="7"/>
  <c r="AN31" i="7"/>
  <c r="AN32" i="7" s="1"/>
  <c r="AN33" i="7" s="1"/>
  <c r="AN34" i="7" s="1"/>
  <c r="AN35" i="7" s="1"/>
  <c r="AN36" i="7" s="1"/>
  <c r="AN29" i="7"/>
  <c r="AN30" i="7" s="1"/>
  <c r="AF38" i="7"/>
  <c r="N25" i="7"/>
  <c r="T26" i="7"/>
  <c r="N27" i="7"/>
  <c r="T28" i="7"/>
  <c r="N29" i="7"/>
  <c r="T30" i="7"/>
  <c r="N31" i="7"/>
  <c r="T32" i="7"/>
  <c r="N33" i="7"/>
  <c r="T34" i="7"/>
  <c r="N35" i="7"/>
  <c r="T36" i="7"/>
  <c r="O25" i="7"/>
  <c r="O27" i="7"/>
  <c r="O29" i="7"/>
  <c r="O31" i="7"/>
  <c r="O33" i="7"/>
  <c r="O35" i="7"/>
  <c r="Z38" i="5"/>
  <c r="AM36" i="5"/>
  <c r="P36" i="5"/>
  <c r="AF36" i="5" s="1"/>
  <c r="N36" i="5"/>
  <c r="M36" i="5"/>
  <c r="L36" i="5"/>
  <c r="T36" i="5" s="1"/>
  <c r="K36" i="5"/>
  <c r="J36" i="5"/>
  <c r="AM35" i="5"/>
  <c r="P35" i="5"/>
  <c r="AF35" i="5" s="1"/>
  <c r="M35" i="5"/>
  <c r="L35" i="5"/>
  <c r="T35" i="5" s="1"/>
  <c r="K35" i="5"/>
  <c r="J35" i="5"/>
  <c r="AM34" i="5"/>
  <c r="P34" i="5"/>
  <c r="AF34" i="5" s="1"/>
  <c r="N34" i="5"/>
  <c r="M34" i="5"/>
  <c r="L34" i="5"/>
  <c r="T34" i="5" s="1"/>
  <c r="K34" i="5"/>
  <c r="J34" i="5"/>
  <c r="AM33" i="5"/>
  <c r="P33" i="5"/>
  <c r="O33" i="5" s="1"/>
  <c r="M33" i="5"/>
  <c r="L33" i="5"/>
  <c r="T33" i="5" s="1"/>
  <c r="K33" i="5"/>
  <c r="J33" i="5"/>
  <c r="AM32" i="5"/>
  <c r="P32" i="5"/>
  <c r="AF32" i="5" s="1"/>
  <c r="N32" i="5"/>
  <c r="M32" i="5"/>
  <c r="L32" i="5"/>
  <c r="T32" i="5" s="1"/>
  <c r="K32" i="5"/>
  <c r="J32" i="5"/>
  <c r="AM31" i="5"/>
  <c r="P31" i="5"/>
  <c r="O31" i="5" s="1"/>
  <c r="M31" i="5"/>
  <c r="L31" i="5"/>
  <c r="T31" i="5" s="1"/>
  <c r="K31" i="5"/>
  <c r="J31" i="5"/>
  <c r="AM30" i="5"/>
  <c r="P30" i="5"/>
  <c r="AF30" i="5" s="1"/>
  <c r="N30" i="5"/>
  <c r="M30" i="5"/>
  <c r="L30" i="5"/>
  <c r="T30" i="5" s="1"/>
  <c r="K30" i="5"/>
  <c r="J30" i="5"/>
  <c r="AM29" i="5"/>
  <c r="P29" i="5"/>
  <c r="AF29" i="5" s="1"/>
  <c r="O29" i="5"/>
  <c r="M29" i="5"/>
  <c r="L29" i="5"/>
  <c r="T29" i="5" s="1"/>
  <c r="K29" i="5"/>
  <c r="J29" i="5"/>
  <c r="AM28" i="5"/>
  <c r="P28" i="5"/>
  <c r="AF28" i="5" s="1"/>
  <c r="N28" i="5"/>
  <c r="M28" i="5"/>
  <c r="L28" i="5"/>
  <c r="T28" i="5" s="1"/>
  <c r="K28" i="5"/>
  <c r="J28" i="5"/>
  <c r="AM27" i="5"/>
  <c r="P27" i="5"/>
  <c r="AF27" i="5" s="1"/>
  <c r="O27" i="5"/>
  <c r="M27" i="5"/>
  <c r="L27" i="5"/>
  <c r="T27" i="5" s="1"/>
  <c r="K27" i="5"/>
  <c r="J27" i="5"/>
  <c r="AM26" i="5"/>
  <c r="P26" i="5"/>
  <c r="AF26" i="5" s="1"/>
  <c r="N26" i="5"/>
  <c r="M26" i="5"/>
  <c r="L26" i="5"/>
  <c r="T26" i="5" s="1"/>
  <c r="K26" i="5"/>
  <c r="J26" i="5"/>
  <c r="AM25" i="5"/>
  <c r="P25" i="5"/>
  <c r="AF25" i="5" s="1"/>
  <c r="O25" i="5"/>
  <c r="M25" i="5"/>
  <c r="L25" i="5"/>
  <c r="T25" i="5" s="1"/>
  <c r="K25" i="5"/>
  <c r="J25" i="5"/>
  <c r="AN25" i="5" s="1"/>
  <c r="S17" i="5"/>
  <c r="S18" i="5" s="1"/>
  <c r="AF11" i="5"/>
  <c r="AE11" i="5"/>
  <c r="AF10" i="5"/>
  <c r="AE10" i="5"/>
  <c r="AF9" i="5"/>
  <c r="AE9" i="5"/>
  <c r="AF8" i="5"/>
  <c r="AE8" i="5"/>
  <c r="AF7" i="5"/>
  <c r="AE7" i="5"/>
  <c r="AF6" i="5"/>
  <c r="AE6" i="5"/>
  <c r="Z38" i="4"/>
  <c r="AM36" i="4"/>
  <c r="T36" i="4"/>
  <c r="P36" i="4"/>
  <c r="AF36" i="4" s="1"/>
  <c r="O36" i="4"/>
  <c r="M36" i="4"/>
  <c r="L36" i="4"/>
  <c r="N36" i="4" s="1"/>
  <c r="K36" i="4"/>
  <c r="J36" i="4"/>
  <c r="AM35" i="4"/>
  <c r="P35" i="4"/>
  <c r="AF35" i="4" s="1"/>
  <c r="N35" i="4"/>
  <c r="M35" i="4"/>
  <c r="L35" i="4"/>
  <c r="T35" i="4" s="1"/>
  <c r="K35" i="4"/>
  <c r="J35" i="4"/>
  <c r="AM34" i="4"/>
  <c r="T34" i="4"/>
  <c r="P34" i="4"/>
  <c r="AF34" i="4" s="1"/>
  <c r="O34" i="4"/>
  <c r="M34" i="4"/>
  <c r="L34" i="4"/>
  <c r="N34" i="4" s="1"/>
  <c r="K34" i="4"/>
  <c r="J34" i="4"/>
  <c r="AM33" i="4"/>
  <c r="P33" i="4"/>
  <c r="AF33" i="4" s="1"/>
  <c r="N33" i="4"/>
  <c r="M33" i="4"/>
  <c r="L33" i="4"/>
  <c r="T33" i="4" s="1"/>
  <c r="K33" i="4"/>
  <c r="J33" i="4"/>
  <c r="AM32" i="4"/>
  <c r="T32" i="4"/>
  <c r="P32" i="4"/>
  <c r="AF32" i="4" s="1"/>
  <c r="O32" i="4"/>
  <c r="M32" i="4"/>
  <c r="L32" i="4"/>
  <c r="N32" i="4" s="1"/>
  <c r="K32" i="4"/>
  <c r="J32" i="4"/>
  <c r="AM31" i="4"/>
  <c r="P31" i="4"/>
  <c r="AF31" i="4" s="1"/>
  <c r="N31" i="4"/>
  <c r="M31" i="4"/>
  <c r="L31" i="4"/>
  <c r="T31" i="4" s="1"/>
  <c r="K31" i="4"/>
  <c r="J31" i="4"/>
  <c r="AM30" i="4"/>
  <c r="T30" i="4"/>
  <c r="P30" i="4"/>
  <c r="AF30" i="4" s="1"/>
  <c r="M30" i="4"/>
  <c r="L30" i="4"/>
  <c r="N30" i="4" s="1"/>
  <c r="K30" i="4"/>
  <c r="J30" i="4"/>
  <c r="AM29" i="4"/>
  <c r="P29" i="4"/>
  <c r="AF29" i="4" s="1"/>
  <c r="M29" i="4"/>
  <c r="L29" i="4"/>
  <c r="T29" i="4" s="1"/>
  <c r="K29" i="4"/>
  <c r="J29" i="4"/>
  <c r="AM28" i="4"/>
  <c r="T28" i="4"/>
  <c r="P28" i="4"/>
  <c r="AF28" i="4" s="1"/>
  <c r="M28" i="4"/>
  <c r="L28" i="4"/>
  <c r="N28" i="4" s="1"/>
  <c r="K28" i="4"/>
  <c r="J28" i="4"/>
  <c r="AN28" i="4" s="1"/>
  <c r="AN29" i="4" s="1"/>
  <c r="AM27" i="4"/>
  <c r="P27" i="4"/>
  <c r="AF27" i="4" s="1"/>
  <c r="M27" i="4"/>
  <c r="L27" i="4"/>
  <c r="T27" i="4" s="1"/>
  <c r="K27" i="4"/>
  <c r="J27" i="4"/>
  <c r="AM26" i="4"/>
  <c r="T26" i="4"/>
  <c r="P26" i="4"/>
  <c r="AF26" i="4" s="1"/>
  <c r="M26" i="4"/>
  <c r="L26" i="4"/>
  <c r="N26" i="4" s="1"/>
  <c r="K26" i="4"/>
  <c r="J26" i="4"/>
  <c r="AN26" i="4" s="1"/>
  <c r="AN27" i="4" s="1"/>
  <c r="AN25" i="4"/>
  <c r="AM25" i="4"/>
  <c r="P25" i="4"/>
  <c r="AF25" i="4" s="1"/>
  <c r="M25" i="4"/>
  <c r="L25" i="4"/>
  <c r="T25" i="4" s="1"/>
  <c r="K25" i="4"/>
  <c r="J25" i="4"/>
  <c r="S18" i="4"/>
  <c r="S17" i="4"/>
  <c r="AF11" i="4"/>
  <c r="AE11" i="4"/>
  <c r="AF10" i="4"/>
  <c r="AE10" i="4"/>
  <c r="AF9" i="4"/>
  <c r="AE9" i="4"/>
  <c r="AF8" i="4"/>
  <c r="AE8" i="4"/>
  <c r="AF7" i="4"/>
  <c r="AE7" i="4"/>
  <c r="AF6" i="4"/>
  <c r="AE6" i="4"/>
  <c r="Z38" i="3"/>
  <c r="AM36" i="3"/>
  <c r="P36" i="3"/>
  <c r="AF36" i="3" s="1"/>
  <c r="M36" i="3"/>
  <c r="L36" i="3" s="1"/>
  <c r="K36" i="3"/>
  <c r="J36" i="3"/>
  <c r="AM35" i="3"/>
  <c r="P35" i="3"/>
  <c r="O35" i="3" s="1"/>
  <c r="M35" i="3"/>
  <c r="L35" i="3"/>
  <c r="T35" i="3" s="1"/>
  <c r="K35" i="3"/>
  <c r="J35" i="3"/>
  <c r="AM34" i="3"/>
  <c r="P34" i="3"/>
  <c r="AF34" i="3" s="1"/>
  <c r="M34" i="3"/>
  <c r="L34" i="3" s="1"/>
  <c r="K34" i="3"/>
  <c r="J34" i="3"/>
  <c r="AM33" i="3"/>
  <c r="P33" i="3"/>
  <c r="O33" i="3" s="1"/>
  <c r="M33" i="3"/>
  <c r="L33" i="3"/>
  <c r="T33" i="3" s="1"/>
  <c r="K33" i="3"/>
  <c r="J33" i="3"/>
  <c r="AM32" i="3"/>
  <c r="P32" i="3"/>
  <c r="AF32" i="3" s="1"/>
  <c r="O32" i="3"/>
  <c r="M32" i="3"/>
  <c r="L32" i="3" s="1"/>
  <c r="K32" i="3"/>
  <c r="J32" i="3"/>
  <c r="AM31" i="3"/>
  <c r="AF31" i="3"/>
  <c r="P31" i="3"/>
  <c r="O31" i="3" s="1"/>
  <c r="M31" i="3"/>
  <c r="L31" i="3"/>
  <c r="T31" i="3" s="1"/>
  <c r="K31" i="3"/>
  <c r="J31" i="3"/>
  <c r="AM30" i="3"/>
  <c r="P30" i="3"/>
  <c r="AF30" i="3" s="1"/>
  <c r="O30" i="3"/>
  <c r="M30" i="3"/>
  <c r="L30" i="3" s="1"/>
  <c r="K30" i="3"/>
  <c r="J30" i="3"/>
  <c r="AM29" i="3"/>
  <c r="AF29" i="3"/>
  <c r="P29" i="3"/>
  <c r="O29" i="3" s="1"/>
  <c r="M29" i="3"/>
  <c r="L29" i="3"/>
  <c r="T29" i="3" s="1"/>
  <c r="K29" i="3"/>
  <c r="J29" i="3"/>
  <c r="AM28" i="3"/>
  <c r="P28" i="3"/>
  <c r="AF28" i="3" s="1"/>
  <c r="M28" i="3"/>
  <c r="L28" i="3" s="1"/>
  <c r="K28" i="3"/>
  <c r="J28" i="3"/>
  <c r="AM27" i="3"/>
  <c r="P27" i="3"/>
  <c r="O27" i="3" s="1"/>
  <c r="M27" i="3"/>
  <c r="L27" i="3"/>
  <c r="T27" i="3" s="1"/>
  <c r="K27" i="3"/>
  <c r="J27" i="3"/>
  <c r="AN27" i="3" s="1"/>
  <c r="AM26" i="3"/>
  <c r="P26" i="3"/>
  <c r="AF26" i="3" s="1"/>
  <c r="M26" i="3"/>
  <c r="L26" i="3" s="1"/>
  <c r="K26" i="3"/>
  <c r="J26" i="3"/>
  <c r="AN26" i="3" s="1"/>
  <c r="AM25" i="3"/>
  <c r="P25" i="3"/>
  <c r="O25" i="3" s="1"/>
  <c r="M25" i="3"/>
  <c r="L25" i="3"/>
  <c r="T25" i="3" s="1"/>
  <c r="K25" i="3"/>
  <c r="J25" i="3"/>
  <c r="AN25" i="3" s="1"/>
  <c r="S18" i="3"/>
  <c r="S17" i="3"/>
  <c r="AF11" i="3"/>
  <c r="AE11" i="3"/>
  <c r="AF10" i="3"/>
  <c r="AE10" i="3"/>
  <c r="AF9" i="3"/>
  <c r="AE9" i="3"/>
  <c r="AF8" i="3"/>
  <c r="AE8" i="3"/>
  <c r="AF7" i="3"/>
  <c r="AE7" i="3"/>
  <c r="AF6" i="3"/>
  <c r="AE6" i="3"/>
  <c r="Z38" i="2"/>
  <c r="M36" i="2"/>
  <c r="L36" i="2" s="1"/>
  <c r="M35" i="2"/>
  <c r="L35" i="2" s="1"/>
  <c r="N35" i="2" s="1"/>
  <c r="M34" i="2"/>
  <c r="L34" i="2" s="1"/>
  <c r="N34" i="2" s="1"/>
  <c r="M33" i="2"/>
  <c r="L33" i="2" s="1"/>
  <c r="N33" i="2" s="1"/>
  <c r="M32" i="2"/>
  <c r="L32" i="2" s="1"/>
  <c r="N32" i="2" s="1"/>
  <c r="M31" i="2"/>
  <c r="L31" i="2" s="1"/>
  <c r="M30" i="2"/>
  <c r="L30" i="2" s="1"/>
  <c r="M29" i="2"/>
  <c r="L29" i="2" s="1"/>
  <c r="N29" i="2" s="1"/>
  <c r="M28" i="2"/>
  <c r="L28" i="2" s="1"/>
  <c r="M27" i="2"/>
  <c r="L27" i="2" s="1"/>
  <c r="N27" i="2" s="1"/>
  <c r="M26" i="2"/>
  <c r="M25" i="2"/>
  <c r="L25" i="2" s="1"/>
  <c r="N25" i="2" s="1"/>
  <c r="O36" i="2"/>
  <c r="O35" i="2"/>
  <c r="O34" i="2"/>
  <c r="O33" i="2"/>
  <c r="O32" i="2"/>
  <c r="O31" i="2"/>
  <c r="O30" i="2"/>
  <c r="O29" i="2"/>
  <c r="O28" i="2"/>
  <c r="O27" i="2"/>
  <c r="O26" i="2"/>
  <c r="O25" i="2"/>
  <c r="P36" i="2"/>
  <c r="P35" i="2"/>
  <c r="P34" i="2"/>
  <c r="P33" i="2"/>
  <c r="P32" i="2"/>
  <c r="P31" i="2"/>
  <c r="P30" i="2"/>
  <c r="P29" i="2"/>
  <c r="P28" i="2"/>
  <c r="P27" i="2"/>
  <c r="AF27" i="2" s="1"/>
  <c r="P26" i="2"/>
  <c r="AF26" i="2" s="1"/>
  <c r="P25" i="2"/>
  <c r="AF25" i="2" s="1"/>
  <c r="AF28" i="2"/>
  <c r="AM36" i="2"/>
  <c r="K36" i="2"/>
  <c r="J36" i="2"/>
  <c r="AM35" i="2"/>
  <c r="K35" i="2"/>
  <c r="J35" i="2"/>
  <c r="AM34" i="2"/>
  <c r="K34" i="2"/>
  <c r="J34" i="2"/>
  <c r="AM33" i="2"/>
  <c r="K33" i="2"/>
  <c r="J33" i="2"/>
  <c r="AM32" i="2"/>
  <c r="K32" i="2"/>
  <c r="J32" i="2"/>
  <c r="AM31" i="2"/>
  <c r="K31" i="2"/>
  <c r="J31" i="2"/>
  <c r="AM30" i="2"/>
  <c r="K30" i="2"/>
  <c r="J30" i="2"/>
  <c r="AM29" i="2"/>
  <c r="K29" i="2"/>
  <c r="J29" i="2"/>
  <c r="AM28" i="2"/>
  <c r="K28" i="2"/>
  <c r="J28" i="2"/>
  <c r="AM27" i="2"/>
  <c r="K27" i="2"/>
  <c r="J27" i="2"/>
  <c r="AM26" i="2"/>
  <c r="K26" i="2"/>
  <c r="J26" i="2"/>
  <c r="AM25" i="2"/>
  <c r="K25" i="2"/>
  <c r="J25" i="2"/>
  <c r="AN25" i="2" s="1"/>
  <c r="S17" i="2"/>
  <c r="S18" i="2" s="1"/>
  <c r="AF11" i="2"/>
  <c r="AE11" i="2"/>
  <c r="AF10" i="2"/>
  <c r="AE10" i="2"/>
  <c r="AF9" i="2"/>
  <c r="AE9" i="2"/>
  <c r="AF8" i="2"/>
  <c r="AE8" i="2"/>
  <c r="AF7" i="2"/>
  <c r="AE7" i="2"/>
  <c r="AF6" i="2"/>
  <c r="AE6" i="2"/>
  <c r="AK36" i="1"/>
  <c r="AK35" i="1"/>
  <c r="AK34" i="1"/>
  <c r="AK33" i="1"/>
  <c r="AK32" i="1"/>
  <c r="AK31" i="1"/>
  <c r="AK30" i="1"/>
  <c r="AK29" i="1"/>
  <c r="AK28" i="1"/>
  <c r="AK27" i="1"/>
  <c r="AK26" i="1"/>
  <c r="AK25" i="1"/>
  <c r="R25" i="1"/>
  <c r="S17" i="1"/>
  <c r="S18" i="1" s="1"/>
  <c r="AF11" i="1"/>
  <c r="AF10" i="1"/>
  <c r="AF9" i="1"/>
  <c r="AF8" i="1"/>
  <c r="AF7" i="1"/>
  <c r="AF6" i="1"/>
  <c r="AE11" i="1"/>
  <c r="AE10" i="1"/>
  <c r="AE9" i="1"/>
  <c r="AE8" i="1"/>
  <c r="AE7" i="1"/>
  <c r="AE6" i="1"/>
  <c r="R36" i="1"/>
  <c r="R35" i="1"/>
  <c r="R34" i="1"/>
  <c r="R33" i="1"/>
  <c r="R32" i="1"/>
  <c r="R31" i="1"/>
  <c r="R30" i="1"/>
  <c r="R29" i="1"/>
  <c r="R28" i="1"/>
  <c r="R27" i="1"/>
  <c r="R26" i="1"/>
  <c r="AD26" i="1"/>
  <c r="AD27" i="1"/>
  <c r="AD28" i="1"/>
  <c r="AD29" i="1"/>
  <c r="AD30" i="1"/>
  <c r="AD31" i="1"/>
  <c r="AD32" i="1"/>
  <c r="AD33" i="1"/>
  <c r="AD34" i="1"/>
  <c r="AD35" i="1"/>
  <c r="AD36" i="1"/>
  <c r="AD25" i="1"/>
  <c r="O25" i="1"/>
  <c r="J36" i="1"/>
  <c r="J35" i="1"/>
  <c r="J34" i="1"/>
  <c r="J33" i="1"/>
  <c r="J32" i="1"/>
  <c r="J31" i="1"/>
  <c r="J30" i="1"/>
  <c r="J29" i="1"/>
  <c r="J28" i="1"/>
  <c r="J27" i="1"/>
  <c r="J26" i="1"/>
  <c r="J25" i="1"/>
  <c r="AL25" i="1" s="1"/>
  <c r="M26" i="1"/>
  <c r="M27" i="1"/>
  <c r="M28" i="1"/>
  <c r="L28" i="1" s="1"/>
  <c r="N28" i="1" s="1"/>
  <c r="M29" i="1"/>
  <c r="L29" i="1" s="1"/>
  <c r="N29" i="1" s="1"/>
  <c r="M30" i="1"/>
  <c r="M31" i="1"/>
  <c r="M32" i="1"/>
  <c r="L32" i="1" s="1"/>
  <c r="N32" i="1" s="1"/>
  <c r="M33" i="1"/>
  <c r="L33" i="1" s="1"/>
  <c r="N33" i="1" s="1"/>
  <c r="M34" i="1"/>
  <c r="M35" i="1"/>
  <c r="M36" i="1"/>
  <c r="M25" i="1"/>
  <c r="O32" i="1"/>
  <c r="O26" i="1"/>
  <c r="O27" i="1"/>
  <c r="O28" i="1"/>
  <c r="O29" i="1"/>
  <c r="O30" i="1"/>
  <c r="O31" i="1"/>
  <c r="O33" i="1"/>
  <c r="O34" i="1"/>
  <c r="O35" i="1"/>
  <c r="O36" i="1"/>
  <c r="K26" i="1"/>
  <c r="K27" i="1"/>
  <c r="K28" i="1"/>
  <c r="K29" i="1"/>
  <c r="K30" i="1"/>
  <c r="K31" i="1"/>
  <c r="K32" i="1"/>
  <c r="K33" i="1"/>
  <c r="K34" i="1"/>
  <c r="K35" i="1"/>
  <c r="K36" i="1"/>
  <c r="K25" i="1"/>
  <c r="AH29" i="15"/>
  <c r="V27" i="14"/>
  <c r="AC35" i="14"/>
  <c r="AG36" i="14"/>
  <c r="AC29" i="14"/>
  <c r="AG27" i="14"/>
  <c r="V29" i="12"/>
  <c r="V30" i="12"/>
  <c r="V30" i="10"/>
  <c r="W30" i="9"/>
  <c r="AG30" i="9"/>
  <c r="W29" i="8"/>
  <c r="V35" i="7"/>
  <c r="V29" i="7"/>
  <c r="AA34" i="5"/>
  <c r="AA31" i="4"/>
  <c r="W30" i="15"/>
  <c r="W31" i="14"/>
  <c r="AG31" i="14"/>
  <c r="AG35" i="14"/>
  <c r="AG25" i="14"/>
  <c r="AG27" i="13"/>
  <c r="W31" i="12"/>
  <c r="V25" i="12"/>
  <c r="V28" i="10"/>
  <c r="V30" i="9"/>
  <c r="W34" i="8"/>
  <c r="V27" i="8"/>
  <c r="W27" i="7"/>
  <c r="V25" i="7"/>
  <c r="AA32" i="5"/>
  <c r="AC27" i="5"/>
  <c r="AA25" i="5"/>
  <c r="AG29" i="5"/>
  <c r="AA26" i="4"/>
  <c r="AA29" i="4"/>
  <c r="AC36" i="4"/>
  <c r="W30" i="4"/>
  <c r="AA28" i="3"/>
  <c r="AC31" i="3"/>
  <c r="AA31" i="2"/>
  <c r="V30" i="15"/>
  <c r="AG30" i="14"/>
  <c r="AC28" i="14"/>
  <c r="V35" i="14"/>
  <c r="AC30" i="14"/>
  <c r="AG29" i="13"/>
  <c r="V26" i="12"/>
  <c r="V33" i="12"/>
  <c r="W30" i="10"/>
  <c r="V34" i="9"/>
  <c r="V35" i="8"/>
  <c r="AG33" i="8"/>
  <c r="W29" i="7"/>
  <c r="AG33" i="7"/>
  <c r="AA30" i="5"/>
  <c r="AC25" i="5"/>
  <c r="AC34" i="5"/>
  <c r="AG27" i="5"/>
  <c r="AA25" i="4"/>
  <c r="AA27" i="4"/>
  <c r="AC34" i="4"/>
  <c r="W36" i="4"/>
  <c r="AA26" i="3"/>
  <c r="AC29" i="3"/>
  <c r="AG31" i="3"/>
  <c r="AG33" i="3"/>
  <c r="AA27" i="2"/>
  <c r="AC27" i="3"/>
  <c r="AC34" i="3"/>
  <c r="AA35" i="2"/>
  <c r="AC26" i="4"/>
  <c r="AC30" i="2"/>
  <c r="AA29" i="3"/>
  <c r="AC25" i="4"/>
  <c r="AG30" i="3"/>
  <c r="W26" i="15"/>
  <c r="AC33" i="14"/>
  <c r="W33" i="14"/>
  <c r="AC26" i="14"/>
  <c r="W27" i="14"/>
  <c r="AG31" i="13"/>
  <c r="V31" i="12"/>
  <c r="V32" i="12"/>
  <c r="V26" i="10"/>
  <c r="V32" i="9"/>
  <c r="V26" i="8"/>
  <c r="V29" i="8"/>
  <c r="AG27" i="7"/>
  <c r="W31" i="7"/>
  <c r="AA28" i="5"/>
  <c r="AC26" i="5"/>
  <c r="AC32" i="5"/>
  <c r="AG25" i="5"/>
  <c r="AC35" i="4"/>
  <c r="AG36" i="4"/>
  <c r="AC32" i="4"/>
  <c r="W34" i="4"/>
  <c r="AC36" i="3"/>
  <c r="AG29" i="3"/>
  <c r="AG33" i="2"/>
  <c r="AC28" i="3"/>
  <c r="AG32" i="3"/>
  <c r="AA27" i="5"/>
  <c r="AA27" i="3"/>
  <c r="W36" i="15"/>
  <c r="V26" i="15"/>
  <c r="AG29" i="14"/>
  <c r="AG34" i="14"/>
  <c r="V29" i="14"/>
  <c r="V31" i="14"/>
  <c r="AG33" i="13"/>
  <c r="V28" i="12"/>
  <c r="W27" i="12"/>
  <c r="AG32" i="10"/>
  <c r="V28" i="9"/>
  <c r="W35" i="8"/>
  <c r="V34" i="8"/>
  <c r="W25" i="7"/>
  <c r="AG35" i="7"/>
  <c r="AA26" i="5"/>
  <c r="AA35" i="5"/>
  <c r="AC28" i="5"/>
  <c r="AA36" i="4"/>
  <c r="AC33" i="4"/>
  <c r="AG34" i="4"/>
  <c r="AC30" i="4"/>
  <c r="W32" i="4"/>
  <c r="AG35" i="3"/>
  <c r="AC25" i="3"/>
  <c r="AA35" i="3"/>
  <c r="AG25" i="3"/>
  <c r="AA34" i="3"/>
  <c r="AA32" i="3"/>
  <c r="AC26" i="2"/>
  <c r="W26" i="4"/>
  <c r="AA25" i="3"/>
  <c r="V36" i="15"/>
  <c r="AG36" i="15"/>
  <c r="AC34" i="14"/>
  <c r="AG33" i="14"/>
  <c r="W29" i="14"/>
  <c r="V25" i="14"/>
  <c r="AG35" i="13"/>
  <c r="V35" i="12"/>
  <c r="V34" i="12"/>
  <c r="AG30" i="10"/>
  <c r="W32" i="9"/>
  <c r="W26" i="8"/>
  <c r="V27" i="7"/>
  <c r="W33" i="7"/>
  <c r="V31" i="7"/>
  <c r="AC35" i="5"/>
  <c r="AA33" i="5"/>
  <c r="AC36" i="5"/>
  <c r="AA34" i="4"/>
  <c r="AC31" i="4"/>
  <c r="AG32" i="4"/>
  <c r="AC28" i="4"/>
  <c r="AA36" i="3"/>
  <c r="AG27" i="3"/>
  <c r="AC30" i="3"/>
  <c r="AA33" i="3"/>
  <c r="AG29" i="2"/>
  <c r="AA31" i="5"/>
  <c r="AC29" i="4"/>
  <c r="AC26" i="3"/>
  <c r="AC35" i="3"/>
  <c r="AC29" i="5"/>
  <c r="AC33" i="3"/>
  <c r="AG28" i="15"/>
  <c r="V31" i="15"/>
  <c r="AC27" i="14"/>
  <c r="W35" i="14"/>
  <c r="W25" i="14"/>
  <c r="AG28" i="14"/>
  <c r="AG25" i="13"/>
  <c r="W25" i="12"/>
  <c r="V27" i="12"/>
  <c r="V34" i="10"/>
  <c r="V26" i="9"/>
  <c r="AG25" i="8"/>
  <c r="V33" i="7"/>
  <c r="AG31" i="7"/>
  <c r="W35" i="7"/>
  <c r="AC33" i="5"/>
  <c r="AC30" i="5"/>
  <c r="AA32" i="4"/>
  <c r="AA35" i="4"/>
  <c r="AA31" i="3"/>
  <c r="AG31" i="5"/>
  <c r="AC34" i="2"/>
  <c r="AG32" i="14"/>
  <c r="V33" i="14"/>
  <c r="AG26" i="14"/>
  <c r="AC31" i="14"/>
  <c r="W29" i="12"/>
  <c r="W33" i="12"/>
  <c r="W35" i="12"/>
  <c r="W32" i="10"/>
  <c r="AG32" i="9"/>
  <c r="AG32" i="8"/>
  <c r="AG29" i="7"/>
  <c r="AG25" i="7"/>
  <c r="AA36" i="5"/>
  <c r="AC31" i="5"/>
  <c r="AA29" i="5"/>
  <c r="AG33" i="5"/>
  <c r="AA30" i="4"/>
  <c r="AC27" i="4"/>
  <c r="AA33" i="4"/>
  <c r="W28" i="4"/>
  <c r="AA28" i="4"/>
  <c r="AA30" i="3"/>
  <c r="AC32" i="3"/>
  <c r="X31" i="15" l="1"/>
  <c r="AB31" i="15" s="1"/>
  <c r="AG38" i="15"/>
  <c r="X36" i="15"/>
  <c r="AB36" i="15" s="1"/>
  <c r="X26" i="15"/>
  <c r="AB26" i="15" s="1"/>
  <c r="X30" i="15"/>
  <c r="AB30" i="15" s="1"/>
  <c r="AI29" i="15"/>
  <c r="AF38" i="15"/>
  <c r="X25" i="14"/>
  <c r="X31" i="14"/>
  <c r="AD31" i="14" s="1"/>
  <c r="AG38" i="14"/>
  <c r="X29" i="14"/>
  <c r="AD29" i="14" s="1"/>
  <c r="AC38" i="14"/>
  <c r="X35" i="14"/>
  <c r="AD35" i="14" s="1"/>
  <c r="X33" i="14"/>
  <c r="AD33" i="14" s="1"/>
  <c r="X27" i="14"/>
  <c r="AD27" i="14" s="1"/>
  <c r="N32" i="14"/>
  <c r="N30" i="14"/>
  <c r="M21" i="14"/>
  <c r="N25" i="14"/>
  <c r="N26" i="14"/>
  <c r="N31" i="14"/>
  <c r="AG38" i="13"/>
  <c r="T25" i="13"/>
  <c r="N25" i="13"/>
  <c r="X27" i="12"/>
  <c r="AB27" i="12" s="1"/>
  <c r="AD27" i="12" s="1"/>
  <c r="X34" i="12"/>
  <c r="AB34" i="12" s="1"/>
  <c r="AD34" i="12" s="1"/>
  <c r="X32" i="12"/>
  <c r="AB32" i="12" s="1"/>
  <c r="AD32" i="12" s="1"/>
  <c r="X33" i="12"/>
  <c r="AB33" i="12" s="1"/>
  <c r="AD33" i="12" s="1"/>
  <c r="X25" i="12"/>
  <c r="AB25" i="12" s="1"/>
  <c r="X30" i="12"/>
  <c r="AB30" i="12" s="1"/>
  <c r="AD30" i="12" s="1"/>
  <c r="X35" i="12"/>
  <c r="AB35" i="12" s="1"/>
  <c r="AD35" i="12" s="1"/>
  <c r="X28" i="12"/>
  <c r="AB28" i="12" s="1"/>
  <c r="AD28" i="12" s="1"/>
  <c r="X31" i="12"/>
  <c r="AB31" i="12" s="1"/>
  <c r="AD31" i="12" s="1"/>
  <c r="X26" i="12"/>
  <c r="AB26" i="12" s="1"/>
  <c r="AD26" i="12" s="1"/>
  <c r="X29" i="12"/>
  <c r="AB29" i="12" s="1"/>
  <c r="AD29" i="12" s="1"/>
  <c r="AG38" i="11"/>
  <c r="X32" i="10"/>
  <c r="AB32" i="10" s="1"/>
  <c r="AD32" i="10" s="1"/>
  <c r="X34" i="10"/>
  <c r="AB34" i="10" s="1"/>
  <c r="AD34" i="10" s="1"/>
  <c r="AG38" i="10"/>
  <c r="X26" i="10"/>
  <c r="AB26" i="10" s="1"/>
  <c r="AD26" i="10" s="1"/>
  <c r="X28" i="10"/>
  <c r="AB28" i="10" s="1"/>
  <c r="AD28" i="10" s="1"/>
  <c r="X30" i="10"/>
  <c r="AB30" i="10" s="1"/>
  <c r="AD30" i="10" s="1"/>
  <c r="AF38" i="10"/>
  <c r="AG38" i="9"/>
  <c r="X26" i="9"/>
  <c r="AB26" i="9" s="1"/>
  <c r="AD26" i="9" s="1"/>
  <c r="X28" i="9"/>
  <c r="AB28" i="9" s="1"/>
  <c r="AD28" i="9" s="1"/>
  <c r="X32" i="9"/>
  <c r="AB32" i="9" s="1"/>
  <c r="AD32" i="9" s="1"/>
  <c r="X34" i="9"/>
  <c r="AB34" i="9" s="1"/>
  <c r="AD34" i="9" s="1"/>
  <c r="X30" i="9"/>
  <c r="AB30" i="9" s="1"/>
  <c r="AD30" i="9" s="1"/>
  <c r="X34" i="8"/>
  <c r="AB34" i="8" s="1"/>
  <c r="AD34" i="8" s="1"/>
  <c r="X29" i="8"/>
  <c r="AB29" i="8" s="1"/>
  <c r="AD29" i="8" s="1"/>
  <c r="X27" i="8"/>
  <c r="AB27" i="8" s="1"/>
  <c r="AD27" i="8" s="1"/>
  <c r="AG38" i="8"/>
  <c r="X26" i="8"/>
  <c r="AB26" i="8" s="1"/>
  <c r="AD26" i="8" s="1"/>
  <c r="X35" i="8"/>
  <c r="AB35" i="8" s="1"/>
  <c r="AD35" i="8" s="1"/>
  <c r="T32" i="8"/>
  <c r="N32" i="8"/>
  <c r="AF38" i="8"/>
  <c r="M21" i="8"/>
  <c r="X31" i="7"/>
  <c r="AB31" i="7" s="1"/>
  <c r="AD31" i="7" s="1"/>
  <c r="X25" i="7"/>
  <c r="AB25" i="7" s="1"/>
  <c r="X29" i="7"/>
  <c r="AB29" i="7" s="1"/>
  <c r="AD29" i="7" s="1"/>
  <c r="AG38" i="7"/>
  <c r="X35" i="7"/>
  <c r="AB35" i="7" s="1"/>
  <c r="AD35" i="7" s="1"/>
  <c r="X33" i="7"/>
  <c r="AB33" i="7" s="1"/>
  <c r="AD33" i="7" s="1"/>
  <c r="X27" i="7"/>
  <c r="AB27" i="7" s="1"/>
  <c r="AD27" i="7" s="1"/>
  <c r="AF33" i="5"/>
  <c r="AF31" i="5"/>
  <c r="O35" i="5"/>
  <c r="AA38" i="5"/>
  <c r="AC38" i="5"/>
  <c r="AF38" i="5"/>
  <c r="AN27" i="5"/>
  <c r="AN28" i="5" s="1"/>
  <c r="AN29" i="5" s="1"/>
  <c r="AN30" i="5" s="1"/>
  <c r="AN31" i="5" s="1"/>
  <c r="AN32" i="5" s="1"/>
  <c r="AN33" i="5" s="1"/>
  <c r="AN34" i="5" s="1"/>
  <c r="AN35" i="5" s="1"/>
  <c r="AN36" i="5" s="1"/>
  <c r="AN26" i="5"/>
  <c r="O26" i="5"/>
  <c r="O28" i="5"/>
  <c r="O30" i="5"/>
  <c r="O32" i="5"/>
  <c r="O34" i="5"/>
  <c r="O36" i="5"/>
  <c r="N25" i="5"/>
  <c r="N27" i="5"/>
  <c r="N29" i="5"/>
  <c r="N31" i="5"/>
  <c r="N33" i="5"/>
  <c r="N35" i="5"/>
  <c r="M21" i="5"/>
  <c r="O30" i="4"/>
  <c r="O28" i="4"/>
  <c r="O26" i="4"/>
  <c r="AC38" i="4"/>
  <c r="AA38" i="4"/>
  <c r="AF38" i="4"/>
  <c r="AN32" i="4"/>
  <c r="AN33" i="4" s="1"/>
  <c r="AN34" i="4" s="1"/>
  <c r="AN35" i="4" s="1"/>
  <c r="AN36" i="4" s="1"/>
  <c r="AN30" i="4"/>
  <c r="AN31" i="4" s="1"/>
  <c r="N29" i="4"/>
  <c r="O25" i="4"/>
  <c r="O27" i="4"/>
  <c r="O29" i="4"/>
  <c r="O31" i="4"/>
  <c r="O33" i="4"/>
  <c r="O35" i="4"/>
  <c r="N25" i="4"/>
  <c r="M21" i="4"/>
  <c r="N27" i="4"/>
  <c r="AF25" i="3"/>
  <c r="O28" i="3"/>
  <c r="O26" i="3"/>
  <c r="AF27" i="3"/>
  <c r="AF33" i="3"/>
  <c r="O36" i="3"/>
  <c r="O34" i="3"/>
  <c r="AF35" i="3"/>
  <c r="AA38" i="3"/>
  <c r="AC38" i="3"/>
  <c r="N32" i="3"/>
  <c r="T32" i="3"/>
  <c r="N26" i="3"/>
  <c r="T26" i="3"/>
  <c r="AN29" i="3"/>
  <c r="AN30" i="3" s="1"/>
  <c r="AN31" i="3" s="1"/>
  <c r="AN32" i="3" s="1"/>
  <c r="AN33" i="3" s="1"/>
  <c r="AN34" i="3" s="1"/>
  <c r="AN35" i="3" s="1"/>
  <c r="AN36" i="3" s="1"/>
  <c r="N36" i="3"/>
  <c r="T36" i="3"/>
  <c r="N30" i="3"/>
  <c r="T30" i="3"/>
  <c r="AN28" i="3"/>
  <c r="N34" i="3"/>
  <c r="T34" i="3"/>
  <c r="N28" i="3"/>
  <c r="T28" i="3"/>
  <c r="N25" i="3"/>
  <c r="N27" i="3"/>
  <c r="N29" i="3"/>
  <c r="N31" i="3"/>
  <c r="N33" i="3"/>
  <c r="N35" i="3"/>
  <c r="M21" i="3"/>
  <c r="L26" i="2"/>
  <c r="N26" i="2" s="1"/>
  <c r="N28" i="2"/>
  <c r="T28" i="2"/>
  <c r="N31" i="2"/>
  <c r="T31" i="2"/>
  <c r="N30" i="2"/>
  <c r="T30" i="2"/>
  <c r="N36" i="2"/>
  <c r="T36" i="2"/>
  <c r="T29" i="2"/>
  <c r="T34" i="2"/>
  <c r="T33" i="2"/>
  <c r="T32" i="2"/>
  <c r="T35" i="2"/>
  <c r="T27" i="2"/>
  <c r="T25" i="2"/>
  <c r="AN26" i="2"/>
  <c r="AH31" i="15"/>
  <c r="W28" i="15"/>
  <c r="W33" i="15"/>
  <c r="AH27" i="14"/>
  <c r="W26" i="14"/>
  <c r="W28" i="13"/>
  <c r="V26" i="13"/>
  <c r="AH27" i="12"/>
  <c r="V36" i="12"/>
  <c r="V25" i="11"/>
  <c r="V29" i="11"/>
  <c r="W33" i="11"/>
  <c r="W36" i="10"/>
  <c r="V36" i="10"/>
  <c r="W31" i="9"/>
  <c r="V29" i="9"/>
  <c r="W29" i="9"/>
  <c r="V30" i="8"/>
  <c r="V36" i="8"/>
  <c r="AH35" i="7"/>
  <c r="AH29" i="7"/>
  <c r="AG30" i="5"/>
  <c r="AG34" i="5"/>
  <c r="V26" i="5"/>
  <c r="V28" i="5"/>
  <c r="V31" i="4"/>
  <c r="V35" i="4"/>
  <c r="W27" i="4"/>
  <c r="AG34" i="3"/>
  <c r="W29" i="3"/>
  <c r="AG36" i="2"/>
  <c r="AC29" i="2"/>
  <c r="AA25" i="2"/>
  <c r="AC36" i="2"/>
  <c r="AG26" i="2"/>
  <c r="W30" i="2"/>
  <c r="U35" i="1"/>
  <c r="T36" i="1"/>
  <c r="Y28" i="1"/>
  <c r="AE28" i="1"/>
  <c r="T28" i="1"/>
  <c r="T30" i="1"/>
  <c r="U26" i="1"/>
  <c r="W30" i="13"/>
  <c r="V29" i="10"/>
  <c r="V28" i="7"/>
  <c r="AG31" i="4"/>
  <c r="V25" i="3"/>
  <c r="U32" i="1"/>
  <c r="U27" i="1"/>
  <c r="V28" i="15"/>
  <c r="V33" i="15"/>
  <c r="W28" i="14"/>
  <c r="W34" i="14"/>
  <c r="V26" i="14"/>
  <c r="W33" i="13"/>
  <c r="V33" i="13"/>
  <c r="AH31" i="12"/>
  <c r="AH28" i="12"/>
  <c r="V30" i="11"/>
  <c r="W28" i="11"/>
  <c r="W25" i="11"/>
  <c r="W33" i="10"/>
  <c r="W29" i="10"/>
  <c r="W36" i="9"/>
  <c r="AH26" i="9"/>
  <c r="V25" i="9"/>
  <c r="W31" i="8"/>
  <c r="AH26" i="8"/>
  <c r="W36" i="7"/>
  <c r="W30" i="7"/>
  <c r="V31" i="5"/>
  <c r="W34" i="5"/>
  <c r="AG36" i="5"/>
  <c r="W30" i="5"/>
  <c r="V29" i="4"/>
  <c r="V25" i="4"/>
  <c r="V33" i="4"/>
  <c r="AG28" i="3"/>
  <c r="W35" i="3"/>
  <c r="AG28" i="2"/>
  <c r="AG35" i="2"/>
  <c r="AA36" i="2"/>
  <c r="W29" i="2"/>
  <c r="W28" i="2"/>
  <c r="AE35" i="1"/>
  <c r="AA36" i="1"/>
  <c r="T31" i="1"/>
  <c r="U29" i="1"/>
  <c r="U28" i="1"/>
  <c r="AE34" i="1"/>
  <c r="T33" i="1"/>
  <c r="U25" i="1"/>
  <c r="AA25" i="1"/>
  <c r="T29" i="1"/>
  <c r="T25" i="1"/>
  <c r="AH35" i="8"/>
  <c r="W26" i="7"/>
  <c r="V29" i="5"/>
  <c r="V26" i="4"/>
  <c r="V31" i="3"/>
  <c r="AA30" i="2"/>
  <c r="V25" i="2"/>
  <c r="AA27" i="1"/>
  <c r="Y29" i="1"/>
  <c r="W34" i="11"/>
  <c r="W25" i="9"/>
  <c r="V30" i="5"/>
  <c r="AG33" i="4"/>
  <c r="AA29" i="2"/>
  <c r="AA33" i="1"/>
  <c r="Y30" i="1"/>
  <c r="AH36" i="15"/>
  <c r="W35" i="15"/>
  <c r="V36" i="14"/>
  <c r="V32" i="14"/>
  <c r="V36" i="13"/>
  <c r="V35" i="13"/>
  <c r="V28" i="13"/>
  <c r="AH34" i="12"/>
  <c r="AH30" i="12"/>
  <c r="V26" i="11"/>
  <c r="V34" i="11"/>
  <c r="W32" i="11"/>
  <c r="W31" i="10"/>
  <c r="W35" i="10"/>
  <c r="V33" i="9"/>
  <c r="W35" i="9"/>
  <c r="AH34" i="8"/>
  <c r="AH27" i="8"/>
  <c r="V25" i="8"/>
  <c r="V32" i="7"/>
  <c r="W34" i="7"/>
  <c r="V25" i="5"/>
  <c r="W28" i="5"/>
  <c r="V35" i="5"/>
  <c r="AG28" i="5"/>
  <c r="V30" i="4"/>
  <c r="V32" i="4"/>
  <c r="V28" i="4"/>
  <c r="V27" i="3"/>
  <c r="V33" i="3"/>
  <c r="W35" i="2"/>
  <c r="AC25" i="2"/>
  <c r="AA32" i="2"/>
  <c r="AA28" i="2"/>
  <c r="V33" i="2"/>
  <c r="AA31" i="1"/>
  <c r="T34" i="1"/>
  <c r="AA34" i="1"/>
  <c r="T32" i="1"/>
  <c r="Y27" i="1"/>
  <c r="V27" i="9"/>
  <c r="W32" i="7"/>
  <c r="V36" i="5"/>
  <c r="V36" i="4"/>
  <c r="AA34" i="2"/>
  <c r="AC27" i="2"/>
  <c r="Y35" i="1"/>
  <c r="AA30" i="1"/>
  <c r="W29" i="13"/>
  <c r="V27" i="10"/>
  <c r="W33" i="8"/>
  <c r="W32" i="5"/>
  <c r="V27" i="2"/>
  <c r="AE33" i="1"/>
  <c r="AH26" i="15"/>
  <c r="V35" i="15"/>
  <c r="V32" i="15"/>
  <c r="AH35" i="14"/>
  <c r="AH29" i="14"/>
  <c r="V32" i="13"/>
  <c r="V27" i="13"/>
  <c r="W34" i="13"/>
  <c r="AH26" i="12"/>
  <c r="AH35" i="12"/>
  <c r="W35" i="11"/>
  <c r="V36" i="11"/>
  <c r="V31" i="11"/>
  <c r="V33" i="10"/>
  <c r="AH28" i="10"/>
  <c r="V31" i="9"/>
  <c r="V31" i="8"/>
  <c r="AH31" i="7"/>
  <c r="AG32" i="5"/>
  <c r="AG30" i="4"/>
  <c r="W35" i="4"/>
  <c r="W31" i="3"/>
  <c r="AC31" i="2"/>
  <c r="AA32" i="1"/>
  <c r="Y33" i="1"/>
  <c r="AE25" i="1"/>
  <c r="AH34" i="9"/>
  <c r="V34" i="5"/>
  <c r="V31" i="2"/>
  <c r="AE27" i="1"/>
  <c r="AH30" i="15"/>
  <c r="W27" i="15"/>
  <c r="W32" i="15"/>
  <c r="W32" i="14"/>
  <c r="AH33" i="14"/>
  <c r="V29" i="13"/>
  <c r="W27" i="13"/>
  <c r="W36" i="13"/>
  <c r="AH32" i="12"/>
  <c r="W30" i="11"/>
  <c r="V33" i="11"/>
  <c r="W29" i="11"/>
  <c r="AH32" i="10"/>
  <c r="V31" i="10"/>
  <c r="AH30" i="10"/>
  <c r="V35" i="9"/>
  <c r="AH28" i="9"/>
  <c r="W28" i="8"/>
  <c r="V33" i="8"/>
  <c r="V26" i="7"/>
  <c r="V36" i="7"/>
  <c r="AG35" i="5"/>
  <c r="W33" i="5"/>
  <c r="W35" i="5"/>
  <c r="AG26" i="5"/>
  <c r="AG28" i="4"/>
  <c r="AG27" i="4"/>
  <c r="W25" i="4"/>
  <c r="W31" i="4"/>
  <c r="V35" i="3"/>
  <c r="V29" i="3"/>
  <c r="W27" i="2"/>
  <c r="V35" i="2"/>
  <c r="AC32" i="2"/>
  <c r="W25" i="2"/>
  <c r="W36" i="2"/>
  <c r="Y26" i="1"/>
  <c r="AA28" i="1"/>
  <c r="Y36" i="1"/>
  <c r="U34" i="1"/>
  <c r="AA26" i="1"/>
  <c r="Y34" i="1"/>
  <c r="AE29" i="1"/>
  <c r="W34" i="15"/>
  <c r="V34" i="14"/>
  <c r="AH33" i="12"/>
  <c r="V28" i="11"/>
  <c r="AH29" i="8"/>
  <c r="W27" i="5"/>
  <c r="AG26" i="3"/>
  <c r="W32" i="2"/>
  <c r="V27" i="15"/>
  <c r="W25" i="15"/>
  <c r="W36" i="14"/>
  <c r="W30" i="14"/>
  <c r="V31" i="13"/>
  <c r="V34" i="13"/>
  <c r="W32" i="13"/>
  <c r="AH29" i="12"/>
  <c r="W26" i="11"/>
  <c r="V32" i="11"/>
  <c r="W31" i="11"/>
  <c r="W27" i="10"/>
  <c r="AH34" i="10"/>
  <c r="AH26" i="10"/>
  <c r="V36" i="9"/>
  <c r="AH32" i="9"/>
  <c r="W30" i="8"/>
  <c r="W25" i="8"/>
  <c r="V30" i="7"/>
  <c r="AH27" i="7"/>
  <c r="W31" i="5"/>
  <c r="V32" i="5"/>
  <c r="V33" i="5"/>
  <c r="W36" i="5"/>
  <c r="AG26" i="4"/>
  <c r="W29" i="4"/>
  <c r="AG25" i="4"/>
  <c r="AG35" i="4"/>
  <c r="W33" i="3"/>
  <c r="W27" i="3"/>
  <c r="AA26" i="2"/>
  <c r="AG31" i="2"/>
  <c r="AG27" i="2"/>
  <c r="AG34" i="2"/>
  <c r="V29" i="2"/>
  <c r="T35" i="1"/>
  <c r="AE30" i="1"/>
  <c r="AE32" i="1"/>
  <c r="U31" i="1"/>
  <c r="Y31" i="1"/>
  <c r="Y32" i="1"/>
  <c r="T27" i="1"/>
  <c r="V25" i="15"/>
  <c r="V28" i="14"/>
  <c r="W31" i="13"/>
  <c r="V35" i="11"/>
  <c r="V35" i="10"/>
  <c r="AH33" i="7"/>
  <c r="W33" i="4"/>
  <c r="AC33" i="2"/>
  <c r="AC35" i="2"/>
  <c r="AA35" i="1"/>
  <c r="V34" i="15"/>
  <c r="AH31" i="14"/>
  <c r="V30" i="14"/>
  <c r="W26" i="13"/>
  <c r="V30" i="13"/>
  <c r="W35" i="13"/>
  <c r="W36" i="12"/>
  <c r="V27" i="11"/>
  <c r="W36" i="11"/>
  <c r="W27" i="11"/>
  <c r="W25" i="10"/>
  <c r="V25" i="10"/>
  <c r="W33" i="9"/>
  <c r="W27" i="9"/>
  <c r="AH30" i="9"/>
  <c r="V28" i="8"/>
  <c r="W36" i="8"/>
  <c r="V34" i="7"/>
  <c r="W28" i="7"/>
  <c r="W25" i="5"/>
  <c r="W26" i="5"/>
  <c r="V27" i="5"/>
  <c r="W29" i="5"/>
  <c r="AG29" i="4"/>
  <c r="V34" i="4"/>
  <c r="V27" i="4"/>
  <c r="AG36" i="3"/>
  <c r="W25" i="3"/>
  <c r="AG32" i="2"/>
  <c r="W31" i="2"/>
  <c r="AA33" i="2"/>
  <c r="AC28" i="2"/>
  <c r="AG30" i="2"/>
  <c r="W34" i="2"/>
  <c r="U36" i="1"/>
  <c r="U30" i="1"/>
  <c r="AE31" i="1"/>
  <c r="AE36" i="1"/>
  <c r="U33" i="1"/>
  <c r="Y25" i="1"/>
  <c r="T26" i="1"/>
  <c r="Y38" i="1" l="1"/>
  <c r="X34" i="15"/>
  <c r="AB34" i="15" s="1"/>
  <c r="X25" i="15"/>
  <c r="AB25" i="15" s="1"/>
  <c r="X27" i="15"/>
  <c r="AB27" i="15" s="1"/>
  <c r="AI30" i="15"/>
  <c r="X32" i="15"/>
  <c r="AB32" i="15" s="1"/>
  <c r="X35" i="15"/>
  <c r="AB35" i="15" s="1"/>
  <c r="AI26" i="15"/>
  <c r="AI36" i="15"/>
  <c r="X33" i="15"/>
  <c r="AB33" i="15" s="1"/>
  <c r="X28" i="15"/>
  <c r="AB28" i="15" s="1"/>
  <c r="AI31" i="15"/>
  <c r="R29" i="15"/>
  <c r="AJ29" i="15"/>
  <c r="X26" i="14"/>
  <c r="AD26" i="14" s="1"/>
  <c r="X30" i="14"/>
  <c r="AD30" i="14" s="1"/>
  <c r="X34" i="14"/>
  <c r="AD34" i="14" s="1"/>
  <c r="AI33" i="14"/>
  <c r="R33" i="14" s="1"/>
  <c r="AI29" i="14"/>
  <c r="R29" i="14" s="1"/>
  <c r="X32" i="14"/>
  <c r="AD32" i="14" s="1"/>
  <c r="AI27" i="14"/>
  <c r="R27" i="14" s="1"/>
  <c r="AI31" i="14"/>
  <c r="R31" i="14" s="1"/>
  <c r="X28" i="14"/>
  <c r="AD28" i="14" s="1"/>
  <c r="AI35" i="14"/>
  <c r="R35" i="14" s="1"/>
  <c r="X36" i="14"/>
  <c r="AD36" i="14" s="1"/>
  <c r="AB38" i="14"/>
  <c r="AD25" i="14"/>
  <c r="X28" i="13"/>
  <c r="AB28" i="13" s="1"/>
  <c r="AD28" i="13" s="1"/>
  <c r="X33" i="13"/>
  <c r="AB33" i="13" s="1"/>
  <c r="AD33" i="13" s="1"/>
  <c r="X26" i="13"/>
  <c r="AB26" i="13" s="1"/>
  <c r="AD26" i="13" s="1"/>
  <c r="X30" i="13"/>
  <c r="AB30" i="13" s="1"/>
  <c r="AD30" i="13" s="1"/>
  <c r="X34" i="13"/>
  <c r="AB34" i="13" s="1"/>
  <c r="AD34" i="13" s="1"/>
  <c r="X27" i="13"/>
  <c r="AB27" i="13" s="1"/>
  <c r="AD27" i="13" s="1"/>
  <c r="X35" i="13"/>
  <c r="AB35" i="13" s="1"/>
  <c r="AD35" i="13" s="1"/>
  <c r="X31" i="13"/>
  <c r="AB31" i="13" s="1"/>
  <c r="AD31" i="13" s="1"/>
  <c r="X29" i="13"/>
  <c r="AB29" i="13" s="1"/>
  <c r="AD29" i="13" s="1"/>
  <c r="X32" i="13"/>
  <c r="AB32" i="13" s="1"/>
  <c r="AD32" i="13" s="1"/>
  <c r="X36" i="13"/>
  <c r="AB36" i="13" s="1"/>
  <c r="AD36" i="13" s="1"/>
  <c r="AI35" i="12"/>
  <c r="AI30" i="12"/>
  <c r="AI28" i="12"/>
  <c r="X36" i="12"/>
  <c r="AB36" i="12" s="1"/>
  <c r="AD36" i="12" s="1"/>
  <c r="AI33" i="12"/>
  <c r="AI29" i="12"/>
  <c r="AI32" i="12"/>
  <c r="AI26" i="12"/>
  <c r="AI34" i="12"/>
  <c r="AI31" i="12"/>
  <c r="AI27" i="12"/>
  <c r="AD25" i="12"/>
  <c r="X31" i="11"/>
  <c r="AB31" i="11" s="1"/>
  <c r="AD31" i="11" s="1"/>
  <c r="X28" i="11"/>
  <c r="AB28" i="11" s="1"/>
  <c r="AD28" i="11" s="1"/>
  <c r="X36" i="11"/>
  <c r="AB36" i="11" s="1"/>
  <c r="AD36" i="11" s="1"/>
  <c r="X34" i="11"/>
  <c r="AB34" i="11" s="1"/>
  <c r="AD34" i="11" s="1"/>
  <c r="X29" i="11"/>
  <c r="AB29" i="11" s="1"/>
  <c r="AD29" i="11" s="1"/>
  <c r="X32" i="11"/>
  <c r="AB32" i="11" s="1"/>
  <c r="AD32" i="11" s="1"/>
  <c r="X33" i="11"/>
  <c r="AB33" i="11" s="1"/>
  <c r="AD33" i="11" s="1"/>
  <c r="X26" i="11"/>
  <c r="AB26" i="11" s="1"/>
  <c r="AD26" i="11" s="1"/>
  <c r="X30" i="11"/>
  <c r="AB30" i="11" s="1"/>
  <c r="AD30" i="11" s="1"/>
  <c r="X25" i="11"/>
  <c r="AB25" i="11" s="1"/>
  <c r="X27" i="11"/>
  <c r="AB27" i="11" s="1"/>
  <c r="AD27" i="11" s="1"/>
  <c r="X35" i="11"/>
  <c r="AB35" i="11" s="1"/>
  <c r="AD35" i="11" s="1"/>
  <c r="X35" i="10"/>
  <c r="AB35" i="10" s="1"/>
  <c r="AD35" i="10" s="1"/>
  <c r="AI26" i="10"/>
  <c r="AI30" i="10"/>
  <c r="AI28" i="10"/>
  <c r="X36" i="10"/>
  <c r="AB36" i="10" s="1"/>
  <c r="AD36" i="10" s="1"/>
  <c r="X25" i="10"/>
  <c r="AB25" i="10" s="1"/>
  <c r="X29" i="10"/>
  <c r="AB29" i="10" s="1"/>
  <c r="AD29" i="10" s="1"/>
  <c r="AI34" i="10"/>
  <c r="X31" i="10"/>
  <c r="AB31" i="10" s="1"/>
  <c r="AD31" i="10" s="1"/>
  <c r="X33" i="10"/>
  <c r="AB33" i="10" s="1"/>
  <c r="AD33" i="10" s="1"/>
  <c r="X27" i="10"/>
  <c r="AB27" i="10" s="1"/>
  <c r="AD27" i="10" s="1"/>
  <c r="AI32" i="10"/>
  <c r="X25" i="9"/>
  <c r="AB25" i="9" s="1"/>
  <c r="AI30" i="9"/>
  <c r="AI32" i="9"/>
  <c r="AI28" i="9"/>
  <c r="X27" i="9"/>
  <c r="AB27" i="9" s="1"/>
  <c r="AD27" i="9" s="1"/>
  <c r="AI26" i="9"/>
  <c r="X29" i="9"/>
  <c r="AB29" i="9" s="1"/>
  <c r="AD29" i="9" s="1"/>
  <c r="AI34" i="9"/>
  <c r="X36" i="9"/>
  <c r="AB36" i="9" s="1"/>
  <c r="AD36" i="9" s="1"/>
  <c r="X35" i="9"/>
  <c r="AB35" i="9" s="1"/>
  <c r="AD35" i="9" s="1"/>
  <c r="X31" i="9"/>
  <c r="AB31" i="9" s="1"/>
  <c r="AD31" i="9" s="1"/>
  <c r="X33" i="9"/>
  <c r="AB33" i="9" s="1"/>
  <c r="AD33" i="9" s="1"/>
  <c r="X25" i="8"/>
  <c r="AB25" i="8" s="1"/>
  <c r="AI26" i="8"/>
  <c r="X36" i="8"/>
  <c r="AB36" i="8" s="1"/>
  <c r="AD36" i="8" s="1"/>
  <c r="X33" i="8"/>
  <c r="AB33" i="8" s="1"/>
  <c r="AD33" i="8" s="1"/>
  <c r="X31" i="8"/>
  <c r="AB31" i="8" s="1"/>
  <c r="AD31" i="8" s="1"/>
  <c r="AI27" i="8"/>
  <c r="X30" i="8"/>
  <c r="AB30" i="8" s="1"/>
  <c r="AD30" i="8" s="1"/>
  <c r="X28" i="8"/>
  <c r="AB28" i="8" s="1"/>
  <c r="AD28" i="8" s="1"/>
  <c r="AI29" i="8"/>
  <c r="AI35" i="8"/>
  <c r="AI34" i="8"/>
  <c r="AI29" i="7"/>
  <c r="AI33" i="7"/>
  <c r="AI27" i="7"/>
  <c r="X36" i="7"/>
  <c r="AB36" i="7" s="1"/>
  <c r="AD36" i="7" s="1"/>
  <c r="X32" i="7"/>
  <c r="AB32" i="7" s="1"/>
  <c r="AD32" i="7" s="1"/>
  <c r="AI35" i="7"/>
  <c r="X34" i="7"/>
  <c r="AB34" i="7" s="1"/>
  <c r="AD34" i="7" s="1"/>
  <c r="X28" i="7"/>
  <c r="AB28" i="7" s="1"/>
  <c r="AD28" i="7" s="1"/>
  <c r="X30" i="7"/>
  <c r="AB30" i="7" s="1"/>
  <c r="AD30" i="7" s="1"/>
  <c r="X26" i="7"/>
  <c r="AB26" i="7" s="1"/>
  <c r="AD26" i="7" s="1"/>
  <c r="AI31" i="7"/>
  <c r="AD25" i="7"/>
  <c r="X28" i="5"/>
  <c r="AB28" i="5" s="1"/>
  <c r="AD28" i="5" s="1"/>
  <c r="X34" i="5"/>
  <c r="AB34" i="5" s="1"/>
  <c r="AD34" i="5" s="1"/>
  <c r="AG38" i="5"/>
  <c r="X36" i="5"/>
  <c r="AB36" i="5" s="1"/>
  <c r="AD36" i="5" s="1"/>
  <c r="X35" i="5"/>
  <c r="AB35" i="5" s="1"/>
  <c r="AD35" i="5" s="1"/>
  <c r="X26" i="5"/>
  <c r="AB26" i="5" s="1"/>
  <c r="AD26" i="5" s="1"/>
  <c r="X27" i="5"/>
  <c r="AB27" i="5" s="1"/>
  <c r="AD27" i="5" s="1"/>
  <c r="X33" i="5"/>
  <c r="AB33" i="5" s="1"/>
  <c r="AD33" i="5" s="1"/>
  <c r="X29" i="5"/>
  <c r="AB29" i="5" s="1"/>
  <c r="AD29" i="5" s="1"/>
  <c r="X32" i="5"/>
  <c r="AB32" i="5" s="1"/>
  <c r="AD32" i="5" s="1"/>
  <c r="X25" i="5"/>
  <c r="AB25" i="5" s="1"/>
  <c r="X31" i="5"/>
  <c r="AB31" i="5" s="1"/>
  <c r="AD31" i="5" s="1"/>
  <c r="X30" i="5"/>
  <c r="AB30" i="5" s="1"/>
  <c r="AD30" i="5" s="1"/>
  <c r="X36" i="4"/>
  <c r="AB36" i="4" s="1"/>
  <c r="AD36" i="4" s="1"/>
  <c r="X28" i="4"/>
  <c r="AB28" i="4" s="1"/>
  <c r="AD28" i="4" s="1"/>
  <c r="X33" i="4"/>
  <c r="AB33" i="4" s="1"/>
  <c r="AD33" i="4" s="1"/>
  <c r="X27" i="4"/>
  <c r="AB27" i="4" s="1"/>
  <c r="AD27" i="4" s="1"/>
  <c r="AG38" i="4"/>
  <c r="X32" i="4"/>
  <c r="AB32" i="4" s="1"/>
  <c r="AD32" i="4" s="1"/>
  <c r="X25" i="4"/>
  <c r="AB25" i="4" s="1"/>
  <c r="X35" i="4"/>
  <c r="AB35" i="4" s="1"/>
  <c r="AD35" i="4" s="1"/>
  <c r="X34" i="4"/>
  <c r="AB34" i="4" s="1"/>
  <c r="AD34" i="4" s="1"/>
  <c r="X26" i="4"/>
  <c r="AB26" i="4" s="1"/>
  <c r="AD26" i="4" s="1"/>
  <c r="X30" i="4"/>
  <c r="AB30" i="4" s="1"/>
  <c r="AD30" i="4" s="1"/>
  <c r="X29" i="4"/>
  <c r="AB29" i="4" s="1"/>
  <c r="AD29" i="4" s="1"/>
  <c r="X31" i="4"/>
  <c r="AB31" i="4" s="1"/>
  <c r="AD31" i="4" s="1"/>
  <c r="AG38" i="3"/>
  <c r="AF38" i="3"/>
  <c r="AA38" i="2"/>
  <c r="AC38" i="2"/>
  <c r="X29" i="3"/>
  <c r="AB29" i="3" s="1"/>
  <c r="AD29" i="3" s="1"/>
  <c r="X33" i="3"/>
  <c r="AB33" i="3" s="1"/>
  <c r="AD33" i="3" s="1"/>
  <c r="X25" i="3"/>
  <c r="AB25" i="3" s="1"/>
  <c r="X35" i="3"/>
  <c r="AB35" i="3" s="1"/>
  <c r="AD35" i="3" s="1"/>
  <c r="X31" i="3"/>
  <c r="AB31" i="3" s="1"/>
  <c r="AD31" i="3" s="1"/>
  <c r="X27" i="3"/>
  <c r="AB27" i="3" s="1"/>
  <c r="AD27" i="3" s="1"/>
  <c r="M21" i="2"/>
  <c r="T26" i="2"/>
  <c r="X29" i="2"/>
  <c r="AB29" i="2" s="1"/>
  <c r="AD29" i="2" s="1"/>
  <c r="X25" i="2"/>
  <c r="AB25" i="2" s="1"/>
  <c r="X31" i="2"/>
  <c r="AB31" i="2" s="1"/>
  <c r="AD31" i="2" s="1"/>
  <c r="X35" i="2"/>
  <c r="AB35" i="2" s="1"/>
  <c r="AD35" i="2" s="1"/>
  <c r="X27" i="2"/>
  <c r="AB27" i="2" s="1"/>
  <c r="AD27" i="2" s="1"/>
  <c r="AN27" i="2"/>
  <c r="AN28" i="2" s="1"/>
  <c r="AN29" i="2" s="1"/>
  <c r="AN30" i="2" s="1"/>
  <c r="AN31" i="2" s="1"/>
  <c r="AN32" i="2" s="1"/>
  <c r="AN33" i="2" s="1"/>
  <c r="AN34" i="2" s="1"/>
  <c r="AN35" i="2" s="1"/>
  <c r="AN36" i="2" s="1"/>
  <c r="V33" i="1"/>
  <c r="V30" i="1"/>
  <c r="V29" i="1"/>
  <c r="V28" i="1"/>
  <c r="Z28" i="1" s="1"/>
  <c r="AB28" i="1" s="1"/>
  <c r="V32" i="1"/>
  <c r="V31" i="1"/>
  <c r="V36" i="1"/>
  <c r="V34" i="1"/>
  <c r="V35" i="1"/>
  <c r="V27" i="1"/>
  <c r="Z27" i="1" s="1"/>
  <c r="AB27" i="1" s="1"/>
  <c r="V26" i="1"/>
  <c r="V25" i="1"/>
  <c r="AL26" i="1"/>
  <c r="AL27" i="1"/>
  <c r="AL28" i="1"/>
  <c r="AL29" i="1" s="1"/>
  <c r="AL30" i="1" s="1"/>
  <c r="AL31" i="1" s="1"/>
  <c r="AL32" i="1" s="1"/>
  <c r="AL33" i="1" s="1"/>
  <c r="AL34" i="1" s="1"/>
  <c r="AL35" i="1" s="1"/>
  <c r="AL36" i="1" s="1"/>
  <c r="L26" i="1"/>
  <c r="N26" i="1" s="1"/>
  <c r="L36" i="1"/>
  <c r="N36" i="1" s="1"/>
  <c r="L35" i="1"/>
  <c r="N35" i="1" s="1"/>
  <c r="L31" i="1"/>
  <c r="N31" i="1" s="1"/>
  <c r="L27" i="1"/>
  <c r="N27" i="1" s="1"/>
  <c r="L34" i="1"/>
  <c r="N34" i="1" s="1"/>
  <c r="L30" i="1"/>
  <c r="N30" i="1" s="1"/>
  <c r="L25" i="1"/>
  <c r="N25" i="1" s="1"/>
  <c r="AH34" i="13"/>
  <c r="AH30" i="11"/>
  <c r="AH36" i="9"/>
  <c r="AH32" i="7"/>
  <c r="AH34" i="5"/>
  <c r="AH27" i="4"/>
  <c r="AH31" i="3"/>
  <c r="AA29" i="1"/>
  <c r="AH26" i="7"/>
  <c r="V28" i="2"/>
  <c r="AH34" i="15"/>
  <c r="AH29" i="13"/>
  <c r="W25" i="13"/>
  <c r="AH28" i="11"/>
  <c r="AH26" i="11"/>
  <c r="AH35" i="9"/>
  <c r="AH30" i="8"/>
  <c r="AH25" i="7"/>
  <c r="AH33" i="5"/>
  <c r="AH36" i="4"/>
  <c r="AH30" i="4"/>
  <c r="W32" i="3"/>
  <c r="W30" i="3"/>
  <c r="AH31" i="2"/>
  <c r="AE26" i="1"/>
  <c r="AH27" i="11"/>
  <c r="W32" i="8"/>
  <c r="AH33" i="3"/>
  <c r="AH36" i="8"/>
  <c r="AH29" i="2"/>
  <c r="AH26" i="14"/>
  <c r="AH33" i="13"/>
  <c r="AH27" i="13"/>
  <c r="AH36" i="11"/>
  <c r="AH35" i="10"/>
  <c r="AH31" i="9"/>
  <c r="AH31" i="8"/>
  <c r="AH34" i="7"/>
  <c r="AH30" i="5"/>
  <c r="AH31" i="4"/>
  <c r="W28" i="3"/>
  <c r="W26" i="3"/>
  <c r="AH27" i="3"/>
  <c r="V36" i="2"/>
  <c r="AF27" i="1"/>
  <c r="AH32" i="13"/>
  <c r="AH33" i="9"/>
  <c r="AH29" i="5"/>
  <c r="W36" i="3"/>
  <c r="V30" i="2"/>
  <c r="AH25" i="12"/>
  <c r="AH28" i="5"/>
  <c r="AH27" i="15"/>
  <c r="AH33" i="15"/>
  <c r="AH28" i="14"/>
  <c r="AH35" i="13"/>
  <c r="AH31" i="10"/>
  <c r="AH28" i="7"/>
  <c r="AH28" i="4"/>
  <c r="W26" i="2"/>
  <c r="AH30" i="13"/>
  <c r="AH32" i="5"/>
  <c r="AH28" i="15"/>
  <c r="AH30" i="14"/>
  <c r="AH26" i="13"/>
  <c r="AH31" i="13"/>
  <c r="AH34" i="11"/>
  <c r="AH33" i="10"/>
  <c r="AH27" i="9"/>
  <c r="AH28" i="8"/>
  <c r="AH26" i="5"/>
  <c r="AH35" i="5"/>
  <c r="AH35" i="4"/>
  <c r="V34" i="3"/>
  <c r="V32" i="3"/>
  <c r="V34" i="2"/>
  <c r="V26" i="2"/>
  <c r="AH33" i="4"/>
  <c r="V26" i="3"/>
  <c r="AH35" i="2"/>
  <c r="AH29" i="11"/>
  <c r="W34" i="3"/>
  <c r="AH34" i="14"/>
  <c r="AH36" i="13"/>
  <c r="AH36" i="12"/>
  <c r="AH35" i="11"/>
  <c r="AH27" i="10"/>
  <c r="AH29" i="9"/>
  <c r="AH30" i="7"/>
  <c r="AH31" i="5"/>
  <c r="AH36" i="5"/>
  <c r="V28" i="3"/>
  <c r="W33" i="2"/>
  <c r="AH34" i="4"/>
  <c r="AH32" i="15"/>
  <c r="AH36" i="14"/>
  <c r="AH35" i="15"/>
  <c r="AH32" i="14"/>
  <c r="V25" i="13"/>
  <c r="AH31" i="11"/>
  <c r="AH32" i="11"/>
  <c r="AH29" i="10"/>
  <c r="AH33" i="8"/>
  <c r="AH36" i="7"/>
  <c r="AH27" i="5"/>
  <c r="AH32" i="4"/>
  <c r="AH26" i="4"/>
  <c r="V30" i="3"/>
  <c r="AH35" i="3"/>
  <c r="AH27" i="2"/>
  <c r="AF28" i="1"/>
  <c r="AH28" i="13"/>
  <c r="AH33" i="11"/>
  <c r="V32" i="8"/>
  <c r="AH29" i="4"/>
  <c r="AH29" i="3"/>
  <c r="V32" i="2"/>
  <c r="AH36" i="10"/>
  <c r="V36" i="3"/>
  <c r="AH25" i="14"/>
  <c r="AI35" i="15" l="1"/>
  <c r="AI32" i="15"/>
  <c r="AI28" i="15"/>
  <c r="AI33" i="15"/>
  <c r="AI27" i="15"/>
  <c r="AE38" i="1"/>
  <c r="AE41" i="1" s="1"/>
  <c r="AI34" i="15"/>
  <c r="AA38" i="1"/>
  <c r="AP29" i="15"/>
  <c r="AQ29" i="15" s="1"/>
  <c r="AJ31" i="15"/>
  <c r="R31" i="15"/>
  <c r="R30" i="15"/>
  <c r="AJ30" i="15"/>
  <c r="AB38" i="15"/>
  <c r="AJ36" i="15"/>
  <c r="R36" i="15"/>
  <c r="R26" i="15"/>
  <c r="AJ26" i="15"/>
  <c r="AI32" i="14"/>
  <c r="R32" i="14" s="1"/>
  <c r="AH38" i="14"/>
  <c r="AI25" i="14"/>
  <c r="R25" i="14" s="1"/>
  <c r="AI36" i="14"/>
  <c r="R36" i="14" s="1"/>
  <c r="AI34" i="14"/>
  <c r="R34" i="14" s="1"/>
  <c r="AI30" i="14"/>
  <c r="R30" i="14" s="1"/>
  <c r="AI28" i="14"/>
  <c r="R28" i="14" s="1"/>
  <c r="AI26" i="14"/>
  <c r="R26" i="14" s="1"/>
  <c r="AJ31" i="14"/>
  <c r="AJ27" i="14"/>
  <c r="AD38" i="14"/>
  <c r="AJ29" i="14"/>
  <c r="AJ33" i="14"/>
  <c r="AJ35" i="14"/>
  <c r="AI31" i="13"/>
  <c r="R31" i="13" s="1"/>
  <c r="AI35" i="13"/>
  <c r="R35" i="13" s="1"/>
  <c r="AI27" i="13"/>
  <c r="R27" i="13" s="1"/>
  <c r="AI34" i="13"/>
  <c r="R34" i="13" s="1"/>
  <c r="X25" i="13"/>
  <c r="AB25" i="13" s="1"/>
  <c r="AI30" i="13"/>
  <c r="R30" i="13" s="1"/>
  <c r="AI36" i="13"/>
  <c r="R36" i="13" s="1"/>
  <c r="AI26" i="13"/>
  <c r="R26" i="13" s="1"/>
  <c r="AI32" i="13"/>
  <c r="R32" i="13" s="1"/>
  <c r="AI33" i="13"/>
  <c r="R33" i="13" s="1"/>
  <c r="AI29" i="13"/>
  <c r="R29" i="13" s="1"/>
  <c r="AI28" i="13"/>
  <c r="R28" i="13" s="1"/>
  <c r="AB38" i="12"/>
  <c r="AH38" i="12"/>
  <c r="AI25" i="12"/>
  <c r="AI36" i="12"/>
  <c r="AJ26" i="12"/>
  <c r="R26" i="12"/>
  <c r="AJ32" i="12"/>
  <c r="R32" i="12"/>
  <c r="R29" i="12"/>
  <c r="AJ29" i="12"/>
  <c r="AD38" i="12"/>
  <c r="R33" i="12"/>
  <c r="AJ33" i="12"/>
  <c r="R27" i="12"/>
  <c r="AJ27" i="12"/>
  <c r="AJ28" i="12"/>
  <c r="R28" i="12"/>
  <c r="R31" i="12"/>
  <c r="AJ31" i="12"/>
  <c r="AJ30" i="12"/>
  <c r="R30" i="12"/>
  <c r="AJ34" i="12"/>
  <c r="R34" i="12"/>
  <c r="R35" i="12"/>
  <c r="AJ35" i="12"/>
  <c r="AI26" i="11"/>
  <c r="AI33" i="11"/>
  <c r="AI32" i="11"/>
  <c r="AI29" i="11"/>
  <c r="AI35" i="11"/>
  <c r="AI34" i="11"/>
  <c r="AI27" i="11"/>
  <c r="AI36" i="11"/>
  <c r="AI28" i="11"/>
  <c r="AI30" i="11"/>
  <c r="AI31" i="11"/>
  <c r="AB38" i="11"/>
  <c r="AD25" i="11"/>
  <c r="AI29" i="10"/>
  <c r="AI36" i="10"/>
  <c r="AI27" i="10"/>
  <c r="AI33" i="10"/>
  <c r="AI31" i="10"/>
  <c r="AI35" i="10"/>
  <c r="R34" i="10"/>
  <c r="AJ34" i="10"/>
  <c r="AB38" i="10"/>
  <c r="AD25" i="10"/>
  <c r="R32" i="10"/>
  <c r="AJ32" i="10"/>
  <c r="AJ28" i="10"/>
  <c r="R28" i="10"/>
  <c r="R30" i="10"/>
  <c r="AJ30" i="10"/>
  <c r="R26" i="10"/>
  <c r="AJ26" i="10"/>
  <c r="AI29" i="9"/>
  <c r="AI27" i="9"/>
  <c r="AI33" i="9"/>
  <c r="AI31" i="9"/>
  <c r="AI35" i="9"/>
  <c r="AI36" i="9"/>
  <c r="R34" i="9"/>
  <c r="AJ34" i="9"/>
  <c r="R26" i="9"/>
  <c r="AJ26" i="9"/>
  <c r="AJ28" i="9"/>
  <c r="R28" i="9"/>
  <c r="R32" i="9"/>
  <c r="AJ32" i="9"/>
  <c r="R30" i="9"/>
  <c r="AJ30" i="9"/>
  <c r="AB38" i="9"/>
  <c r="AD25" i="9"/>
  <c r="AI28" i="8"/>
  <c r="AI31" i="8"/>
  <c r="AI30" i="8"/>
  <c r="X32" i="8"/>
  <c r="AB32" i="8" s="1"/>
  <c r="AD32" i="8" s="1"/>
  <c r="AI33" i="8"/>
  <c r="AI36" i="8"/>
  <c r="R27" i="8"/>
  <c r="AJ27" i="8"/>
  <c r="R35" i="8"/>
  <c r="AJ35" i="8"/>
  <c r="R26" i="8"/>
  <c r="AJ26" i="8"/>
  <c r="R34" i="8"/>
  <c r="AJ34" i="8"/>
  <c r="R29" i="8"/>
  <c r="AJ29" i="8"/>
  <c r="AD25" i="8"/>
  <c r="AI28" i="7"/>
  <c r="AI34" i="7"/>
  <c r="AH38" i="7"/>
  <c r="AI25" i="7"/>
  <c r="AI32" i="7"/>
  <c r="AI36" i="7"/>
  <c r="AI26" i="7"/>
  <c r="AI30" i="7"/>
  <c r="R35" i="7"/>
  <c r="AJ35" i="7"/>
  <c r="AD38" i="7"/>
  <c r="AB38" i="7"/>
  <c r="R31" i="7"/>
  <c r="AJ31" i="7"/>
  <c r="R27" i="7"/>
  <c r="AJ27" i="7"/>
  <c r="R33" i="7"/>
  <c r="AJ33" i="7"/>
  <c r="R29" i="7"/>
  <c r="AJ29" i="7"/>
  <c r="AI32" i="5"/>
  <c r="AI36" i="5"/>
  <c r="AI35" i="5"/>
  <c r="AI29" i="5"/>
  <c r="AI30" i="5"/>
  <c r="AI33" i="5"/>
  <c r="AI34" i="5"/>
  <c r="AI27" i="5"/>
  <c r="AI28" i="5"/>
  <c r="AI31" i="5"/>
  <c r="AI26" i="5"/>
  <c r="AB38" i="5"/>
  <c r="AD25" i="5"/>
  <c r="AI30" i="4"/>
  <c r="AI27" i="4"/>
  <c r="AI26" i="4"/>
  <c r="AI34" i="4"/>
  <c r="AI33" i="4"/>
  <c r="AI35" i="4"/>
  <c r="AI28" i="4"/>
  <c r="AI31" i="4"/>
  <c r="AI36" i="4"/>
  <c r="AI29" i="4"/>
  <c r="AI32" i="4"/>
  <c r="AB38" i="4"/>
  <c r="AD25" i="4"/>
  <c r="AI27" i="3"/>
  <c r="AI31" i="3"/>
  <c r="AI35" i="3"/>
  <c r="X26" i="3"/>
  <c r="AB26" i="3" s="1"/>
  <c r="AD26" i="3" s="1"/>
  <c r="X32" i="3"/>
  <c r="AB32" i="3" s="1"/>
  <c r="AD32" i="3" s="1"/>
  <c r="AI33" i="3"/>
  <c r="AI29" i="3"/>
  <c r="X30" i="3"/>
  <c r="AB30" i="3" s="1"/>
  <c r="AD30" i="3" s="1"/>
  <c r="X36" i="3"/>
  <c r="AB36" i="3" s="1"/>
  <c r="AD36" i="3" s="1"/>
  <c r="X28" i="3"/>
  <c r="AB28" i="3" s="1"/>
  <c r="AD28" i="3" s="1"/>
  <c r="X34" i="3"/>
  <c r="AB34" i="3" s="1"/>
  <c r="AD34" i="3" s="1"/>
  <c r="AD25" i="3"/>
  <c r="AD25" i="2"/>
  <c r="AF31" i="2"/>
  <c r="AI31" i="2" s="1"/>
  <c r="AF34" i="2"/>
  <c r="AF30" i="2"/>
  <c r="AF29" i="2"/>
  <c r="X26" i="2"/>
  <c r="AB26" i="2" s="1"/>
  <c r="AD26" i="2" s="1"/>
  <c r="X30" i="2"/>
  <c r="AB30" i="2" s="1"/>
  <c r="AD30" i="2" s="1"/>
  <c r="X36" i="2"/>
  <c r="AB36" i="2" s="1"/>
  <c r="AD36" i="2" s="1"/>
  <c r="X32" i="2"/>
  <c r="AB32" i="2" s="1"/>
  <c r="AD32" i="2" s="1"/>
  <c r="AI27" i="2"/>
  <c r="X28" i="2"/>
  <c r="AB28" i="2" s="1"/>
  <c r="AD28" i="2" s="1"/>
  <c r="X33" i="2"/>
  <c r="AB33" i="2" s="1"/>
  <c r="AD33" i="2" s="1"/>
  <c r="X34" i="2"/>
  <c r="AB34" i="2" s="1"/>
  <c r="AD34" i="2" s="1"/>
  <c r="Z26" i="1"/>
  <c r="AB26" i="1" s="1"/>
  <c r="Z25" i="1"/>
  <c r="Z29" i="1"/>
  <c r="AB29" i="1" s="1"/>
  <c r="AG27" i="1"/>
  <c r="AH27" i="1" s="1"/>
  <c r="AG28" i="1"/>
  <c r="AH28" i="1" s="1"/>
  <c r="AH25" i="8"/>
  <c r="AH26" i="3"/>
  <c r="AH26" i="2"/>
  <c r="AH25" i="5"/>
  <c r="AH32" i="3"/>
  <c r="AH36" i="2"/>
  <c r="AH25" i="4"/>
  <c r="AF29" i="1"/>
  <c r="AH36" i="3"/>
  <c r="AF26" i="1"/>
  <c r="AH30" i="2"/>
  <c r="AH25" i="2"/>
  <c r="AH28" i="2"/>
  <c r="AH34" i="2"/>
  <c r="AH25" i="11"/>
  <c r="AH28" i="3"/>
  <c r="AH32" i="2"/>
  <c r="AH25" i="15"/>
  <c r="AH34" i="3"/>
  <c r="AH32" i="8"/>
  <c r="AH25" i="10"/>
  <c r="AH25" i="3"/>
  <c r="AH33" i="2"/>
  <c r="AH25" i="9"/>
  <c r="AH30" i="3"/>
  <c r="AH38" i="15" l="1"/>
  <c r="AI25" i="15"/>
  <c r="AB25" i="1"/>
  <c r="R34" i="15"/>
  <c r="AJ34" i="15"/>
  <c r="AD38" i="15"/>
  <c r="AP30" i="15"/>
  <c r="AQ30" i="15" s="1"/>
  <c r="R27" i="15"/>
  <c r="AJ27" i="15"/>
  <c r="AP26" i="15"/>
  <c r="AQ26" i="15" s="1"/>
  <c r="R33" i="15"/>
  <c r="AJ33" i="15"/>
  <c r="AP31" i="15"/>
  <c r="AQ31" i="15" s="1"/>
  <c r="AJ28" i="15"/>
  <c r="R28" i="15"/>
  <c r="R32" i="15"/>
  <c r="AJ32" i="15"/>
  <c r="AP36" i="15"/>
  <c r="AQ36" i="15" s="1"/>
  <c r="R35" i="15"/>
  <c r="AJ35" i="15"/>
  <c r="AJ26" i="14"/>
  <c r="AJ28" i="14"/>
  <c r="AJ30" i="14"/>
  <c r="AP29" i="14"/>
  <c r="AQ29" i="14" s="1"/>
  <c r="AJ34" i="14"/>
  <c r="AP27" i="14"/>
  <c r="AQ27" i="14" s="1"/>
  <c r="AJ36" i="14"/>
  <c r="AP35" i="14"/>
  <c r="AQ35" i="14" s="1"/>
  <c r="AI38" i="14"/>
  <c r="AJ25" i="14"/>
  <c r="AP31" i="14"/>
  <c r="AQ31" i="14" s="1"/>
  <c r="AP33" i="14"/>
  <c r="AQ33" i="14" s="1"/>
  <c r="AJ32" i="14"/>
  <c r="AJ36" i="13"/>
  <c r="AJ26" i="13"/>
  <c r="AJ30" i="13"/>
  <c r="AB38" i="13"/>
  <c r="AD25" i="13"/>
  <c r="AJ28" i="13"/>
  <c r="AJ34" i="13"/>
  <c r="AJ29" i="13"/>
  <c r="AJ27" i="13"/>
  <c r="AJ33" i="13"/>
  <c r="AJ35" i="13"/>
  <c r="AJ32" i="13"/>
  <c r="AJ31" i="13"/>
  <c r="AP28" i="12"/>
  <c r="AQ28" i="12" s="1"/>
  <c r="AP27" i="12"/>
  <c r="AQ27" i="12" s="1"/>
  <c r="AP32" i="12"/>
  <c r="AQ32" i="12" s="1"/>
  <c r="AP34" i="12"/>
  <c r="AQ34" i="12" s="1"/>
  <c r="AP33" i="12"/>
  <c r="AQ33" i="12" s="1"/>
  <c r="AP26" i="12"/>
  <c r="AQ26" i="12" s="1"/>
  <c r="AP30" i="12"/>
  <c r="AQ30" i="12" s="1"/>
  <c r="AJ36" i="12"/>
  <c r="R36" i="12"/>
  <c r="AP31" i="12"/>
  <c r="AQ31" i="12" s="1"/>
  <c r="AI38" i="12"/>
  <c r="R25" i="12"/>
  <c r="AJ25" i="12"/>
  <c r="AP35" i="12"/>
  <c r="AQ35" i="12" s="1"/>
  <c r="AP29" i="12"/>
  <c r="AQ29" i="12" s="1"/>
  <c r="AH38" i="11"/>
  <c r="AI25" i="11"/>
  <c r="AJ36" i="11"/>
  <c r="R36" i="11"/>
  <c r="AD38" i="11"/>
  <c r="R35" i="11"/>
  <c r="AJ35" i="11"/>
  <c r="AJ34" i="11"/>
  <c r="R34" i="11"/>
  <c r="R29" i="11"/>
  <c r="AJ29" i="11"/>
  <c r="R31" i="11"/>
  <c r="AJ31" i="11"/>
  <c r="AJ32" i="11"/>
  <c r="R32" i="11"/>
  <c r="AJ30" i="11"/>
  <c r="R30" i="11"/>
  <c r="R33" i="11"/>
  <c r="AJ33" i="11"/>
  <c r="R27" i="11"/>
  <c r="AJ27" i="11"/>
  <c r="AJ28" i="11"/>
  <c r="R28" i="11"/>
  <c r="AJ26" i="11"/>
  <c r="R26" i="11"/>
  <c r="AH38" i="10"/>
  <c r="AI25" i="10"/>
  <c r="AP30" i="10"/>
  <c r="AQ30" i="10" s="1"/>
  <c r="AP34" i="10"/>
  <c r="AQ34" i="10" s="1"/>
  <c r="R35" i="10"/>
  <c r="AJ35" i="10"/>
  <c r="AP28" i="10"/>
  <c r="AQ28" i="10" s="1"/>
  <c r="AJ31" i="10"/>
  <c r="R31" i="10"/>
  <c r="AP32" i="10"/>
  <c r="AQ32" i="10" s="1"/>
  <c r="R33" i="10"/>
  <c r="AJ33" i="10"/>
  <c r="R27" i="10"/>
  <c r="AJ27" i="10"/>
  <c r="AP26" i="10"/>
  <c r="AQ26" i="10" s="1"/>
  <c r="AD38" i="10"/>
  <c r="AJ36" i="10"/>
  <c r="R36" i="10"/>
  <c r="AJ29" i="10"/>
  <c r="R29" i="10"/>
  <c r="AH38" i="9"/>
  <c r="AI25" i="9"/>
  <c r="AP30" i="9"/>
  <c r="AQ30" i="9" s="1"/>
  <c r="AP34" i="9"/>
  <c r="AQ34" i="9" s="1"/>
  <c r="AP32" i="9"/>
  <c r="AQ32" i="9" s="1"/>
  <c r="AJ36" i="9"/>
  <c r="R36" i="9"/>
  <c r="AJ31" i="9"/>
  <c r="R31" i="9"/>
  <c r="AP28" i="9"/>
  <c r="AQ28" i="9" s="1"/>
  <c r="R33" i="9"/>
  <c r="AJ33" i="9"/>
  <c r="R35" i="9"/>
  <c r="AJ35" i="9"/>
  <c r="AD38" i="9"/>
  <c r="AP26" i="9"/>
  <c r="AQ26" i="9" s="1"/>
  <c r="R27" i="9"/>
  <c r="AJ27" i="9"/>
  <c r="R29" i="9"/>
  <c r="AJ29" i="9"/>
  <c r="AI32" i="8"/>
  <c r="AH38" i="8"/>
  <c r="AI25" i="8"/>
  <c r="AP34" i="8"/>
  <c r="AQ34" i="8" s="1"/>
  <c r="AJ36" i="8"/>
  <c r="R36" i="8"/>
  <c r="R33" i="8"/>
  <c r="AJ33" i="8"/>
  <c r="AP26" i="8"/>
  <c r="AQ26" i="8" s="1"/>
  <c r="AP29" i="8"/>
  <c r="AQ29" i="8" s="1"/>
  <c r="AJ30" i="8"/>
  <c r="R30" i="8"/>
  <c r="AD38" i="8"/>
  <c r="AP35" i="8"/>
  <c r="AQ35" i="8" s="1"/>
  <c r="AJ31" i="8"/>
  <c r="R31" i="8"/>
  <c r="AP27" i="8"/>
  <c r="AQ27" i="8" s="1"/>
  <c r="AB38" i="8"/>
  <c r="AJ28" i="8"/>
  <c r="R28" i="8"/>
  <c r="AP27" i="7"/>
  <c r="AQ27" i="7" s="1"/>
  <c r="AJ30" i="7"/>
  <c r="R30" i="7"/>
  <c r="AJ26" i="7"/>
  <c r="R26" i="7"/>
  <c r="AP31" i="7"/>
  <c r="AQ31" i="7" s="1"/>
  <c r="AJ36" i="7"/>
  <c r="R36" i="7"/>
  <c r="AJ32" i="7"/>
  <c r="R32" i="7"/>
  <c r="AP29" i="7"/>
  <c r="AQ29" i="7" s="1"/>
  <c r="AI38" i="7"/>
  <c r="R25" i="7"/>
  <c r="AJ25" i="7"/>
  <c r="AP33" i="7"/>
  <c r="AQ33" i="7" s="1"/>
  <c r="AP35" i="7"/>
  <c r="AQ35" i="7" s="1"/>
  <c r="AJ34" i="7"/>
  <c r="R34" i="7"/>
  <c r="AJ28" i="7"/>
  <c r="R28" i="7"/>
  <c r="AH38" i="5"/>
  <c r="AI25" i="5"/>
  <c r="R27" i="5"/>
  <c r="AJ27" i="5"/>
  <c r="R33" i="5"/>
  <c r="AJ33" i="5"/>
  <c r="AJ34" i="5"/>
  <c r="R34" i="5"/>
  <c r="AD38" i="5"/>
  <c r="AJ30" i="5"/>
  <c r="R30" i="5"/>
  <c r="R29" i="5"/>
  <c r="AJ29" i="5"/>
  <c r="AJ26" i="5"/>
  <c r="R26" i="5"/>
  <c r="R35" i="5"/>
  <c r="AJ35" i="5"/>
  <c r="R31" i="5"/>
  <c r="AJ31" i="5"/>
  <c r="AJ36" i="5"/>
  <c r="R36" i="5"/>
  <c r="AJ28" i="5"/>
  <c r="R28" i="5"/>
  <c r="AJ32" i="5"/>
  <c r="R32" i="5"/>
  <c r="AH38" i="4"/>
  <c r="AI25" i="4"/>
  <c r="R31" i="4"/>
  <c r="AJ31" i="4"/>
  <c r="R35" i="4"/>
  <c r="AJ35" i="4"/>
  <c r="R33" i="4"/>
  <c r="AJ33" i="4"/>
  <c r="AD38" i="4"/>
  <c r="AJ34" i="4"/>
  <c r="R34" i="4"/>
  <c r="AB38" i="2"/>
  <c r="AJ32" i="4"/>
  <c r="R32" i="4"/>
  <c r="AJ26" i="4"/>
  <c r="R26" i="4"/>
  <c r="AJ29" i="4"/>
  <c r="R29" i="4"/>
  <c r="R27" i="4"/>
  <c r="AJ27" i="4"/>
  <c r="AJ28" i="4"/>
  <c r="R28" i="4"/>
  <c r="AJ36" i="4"/>
  <c r="R36" i="4"/>
  <c r="AJ30" i="4"/>
  <c r="R30" i="4"/>
  <c r="AH38" i="2"/>
  <c r="AI32" i="3"/>
  <c r="AI30" i="3"/>
  <c r="AI26" i="3"/>
  <c r="AI34" i="3"/>
  <c r="AH38" i="3"/>
  <c r="AI25" i="3"/>
  <c r="AI28" i="3"/>
  <c r="AI36" i="3"/>
  <c r="R29" i="3"/>
  <c r="AJ29" i="3"/>
  <c r="AD38" i="2"/>
  <c r="AB38" i="3"/>
  <c r="R35" i="3"/>
  <c r="AJ35" i="3"/>
  <c r="AD38" i="3"/>
  <c r="R31" i="3"/>
  <c r="AJ31" i="3"/>
  <c r="R33" i="3"/>
  <c r="AJ33" i="3"/>
  <c r="AI29" i="2"/>
  <c r="AJ29" i="2" s="1"/>
  <c r="AP29" i="2" s="1"/>
  <c r="AQ29" i="2" s="1"/>
  <c r="R27" i="3"/>
  <c r="AJ27" i="3"/>
  <c r="AJ27" i="2"/>
  <c r="AP27" i="2" s="1"/>
  <c r="AQ27" i="2" s="1"/>
  <c r="R27" i="2"/>
  <c r="AJ31" i="2"/>
  <c r="AP31" i="2" s="1"/>
  <c r="AQ31" i="2" s="1"/>
  <c r="R31" i="2"/>
  <c r="AF35" i="2"/>
  <c r="AI35" i="2" s="1"/>
  <c r="AF32" i="2"/>
  <c r="AI32" i="2" s="1"/>
  <c r="AF33" i="2"/>
  <c r="AI33" i="2" s="1"/>
  <c r="AF36" i="2"/>
  <c r="AI36" i="2" s="1"/>
  <c r="AI30" i="2"/>
  <c r="AI26" i="2"/>
  <c r="AI34" i="2"/>
  <c r="AI28" i="2"/>
  <c r="AG26" i="1"/>
  <c r="AH26" i="1" s="1"/>
  <c r="AN28" i="1"/>
  <c r="AO28" i="1" s="1"/>
  <c r="AN27" i="1"/>
  <c r="AO27" i="1" s="1"/>
  <c r="AG29" i="1"/>
  <c r="AH29" i="1" s="1"/>
  <c r="Z30" i="1"/>
  <c r="AB30" i="1" s="1"/>
  <c r="AF30" i="1"/>
  <c r="AF25" i="1"/>
  <c r="AH25" i="13"/>
  <c r="AG25" i="1" l="1"/>
  <c r="AK41" i="2"/>
  <c r="AJ41" i="2"/>
  <c r="AI41" i="2"/>
  <c r="AH41" i="2"/>
  <c r="AP33" i="15"/>
  <c r="AQ33" i="15" s="1"/>
  <c r="AP34" i="15"/>
  <c r="AQ34" i="15" s="1"/>
  <c r="AP32" i="15"/>
  <c r="AQ32" i="15" s="1"/>
  <c r="AP27" i="15"/>
  <c r="AQ27" i="15" s="1"/>
  <c r="AP28" i="15"/>
  <c r="AQ28" i="15" s="1"/>
  <c r="AI38" i="15"/>
  <c r="R25" i="15"/>
  <c r="AJ25" i="15"/>
  <c r="AP35" i="15"/>
  <c r="AQ35" i="15" s="1"/>
  <c r="AP32" i="14"/>
  <c r="AQ32" i="14" s="1"/>
  <c r="AP36" i="14"/>
  <c r="AQ36" i="14" s="1"/>
  <c r="AP30" i="14"/>
  <c r="AQ30" i="14" s="1"/>
  <c r="AP25" i="14"/>
  <c r="AQ25" i="14" s="1"/>
  <c r="AK25" i="14"/>
  <c r="AR25" i="14" s="1"/>
  <c r="AS25" i="14" s="1"/>
  <c r="AP28" i="14"/>
  <c r="AQ28" i="14" s="1"/>
  <c r="AP34" i="14"/>
  <c r="AQ34" i="14" s="1"/>
  <c r="AP26" i="14"/>
  <c r="AQ26" i="14" s="1"/>
  <c r="AH38" i="13"/>
  <c r="AI25" i="13"/>
  <c r="R25" i="13" s="1"/>
  <c r="AP29" i="13"/>
  <c r="AQ29" i="13" s="1"/>
  <c r="AD38" i="13"/>
  <c r="AP32" i="13"/>
  <c r="AQ32" i="13" s="1"/>
  <c r="AP30" i="13"/>
  <c r="AQ30" i="13" s="1"/>
  <c r="AP35" i="13"/>
  <c r="AQ35" i="13" s="1"/>
  <c r="AP34" i="13"/>
  <c r="AQ34" i="13" s="1"/>
  <c r="AP26" i="13"/>
  <c r="AQ26" i="13" s="1"/>
  <c r="AP31" i="13"/>
  <c r="AQ31" i="13" s="1"/>
  <c r="AP33" i="13"/>
  <c r="AQ33" i="13" s="1"/>
  <c r="AP27" i="13"/>
  <c r="AQ27" i="13" s="1"/>
  <c r="AP28" i="13"/>
  <c r="AQ28" i="13" s="1"/>
  <c r="AP36" i="13"/>
  <c r="AQ36" i="13" s="1"/>
  <c r="AP36" i="12"/>
  <c r="AQ36" i="12" s="1"/>
  <c r="AP25" i="12"/>
  <c r="AQ25" i="12" s="1"/>
  <c r="AK25" i="12"/>
  <c r="AP35" i="11"/>
  <c r="AQ35" i="11" s="1"/>
  <c r="AP28" i="11"/>
  <c r="AQ28" i="11" s="1"/>
  <c r="AP32" i="11"/>
  <c r="AQ32" i="11" s="1"/>
  <c r="AP26" i="11"/>
  <c r="AQ26" i="11" s="1"/>
  <c r="AP27" i="11"/>
  <c r="AQ27" i="11" s="1"/>
  <c r="AP31" i="11"/>
  <c r="AQ31" i="11" s="1"/>
  <c r="AP30" i="11"/>
  <c r="AQ30" i="11" s="1"/>
  <c r="AP34" i="11"/>
  <c r="AQ34" i="11" s="1"/>
  <c r="AP33" i="11"/>
  <c r="AQ33" i="11" s="1"/>
  <c r="AP29" i="11"/>
  <c r="AQ29" i="11" s="1"/>
  <c r="AP36" i="11"/>
  <c r="AQ36" i="11" s="1"/>
  <c r="AI38" i="11"/>
  <c r="R25" i="11"/>
  <c r="AJ25" i="11"/>
  <c r="AP36" i="10"/>
  <c r="AQ36" i="10" s="1"/>
  <c r="AP29" i="10"/>
  <c r="AQ29" i="10" s="1"/>
  <c r="AP33" i="10"/>
  <c r="AQ33" i="10" s="1"/>
  <c r="AP35" i="10"/>
  <c r="AQ35" i="10" s="1"/>
  <c r="AP31" i="10"/>
  <c r="AQ31" i="10" s="1"/>
  <c r="AP27" i="10"/>
  <c r="AQ27" i="10" s="1"/>
  <c r="AI38" i="10"/>
  <c r="R25" i="10"/>
  <c r="AJ25" i="10"/>
  <c r="AP33" i="9"/>
  <c r="AQ33" i="9" s="1"/>
  <c r="AP27" i="9"/>
  <c r="AQ27" i="9" s="1"/>
  <c r="AP31" i="9"/>
  <c r="AQ31" i="9" s="1"/>
  <c r="AP35" i="9"/>
  <c r="AQ35" i="9" s="1"/>
  <c r="AI38" i="9"/>
  <c r="AJ25" i="9"/>
  <c r="R25" i="9"/>
  <c r="AP29" i="9"/>
  <c r="AQ29" i="9" s="1"/>
  <c r="AP36" i="9"/>
  <c r="AQ36" i="9" s="1"/>
  <c r="AP28" i="8"/>
  <c r="AQ28" i="8" s="1"/>
  <c r="AP30" i="8"/>
  <c r="AQ30" i="8" s="1"/>
  <c r="AP36" i="8"/>
  <c r="AQ36" i="8" s="1"/>
  <c r="AP31" i="8"/>
  <c r="AQ31" i="8" s="1"/>
  <c r="AI38" i="8"/>
  <c r="R25" i="8"/>
  <c r="AJ25" i="8"/>
  <c r="AP33" i="8"/>
  <c r="AQ33" i="8" s="1"/>
  <c r="R32" i="8"/>
  <c r="AJ32" i="8"/>
  <c r="AP28" i="7"/>
  <c r="AQ28" i="7" s="1"/>
  <c r="AP34" i="7"/>
  <c r="AQ34" i="7" s="1"/>
  <c r="AP26" i="7"/>
  <c r="AQ26" i="7" s="1"/>
  <c r="AP32" i="7"/>
  <c r="AQ32" i="7" s="1"/>
  <c r="AP30" i="7"/>
  <c r="AQ30" i="7" s="1"/>
  <c r="AP25" i="7"/>
  <c r="AQ25" i="7" s="1"/>
  <c r="AK25" i="7"/>
  <c r="AR25" i="7" s="1"/>
  <c r="AS25" i="7" s="1"/>
  <c r="AP36" i="7"/>
  <c r="AQ36" i="7" s="1"/>
  <c r="AP32" i="5"/>
  <c r="AQ32" i="5" s="1"/>
  <c r="AP34" i="5"/>
  <c r="AQ34" i="5" s="1"/>
  <c r="AP28" i="5"/>
  <c r="AQ28" i="5" s="1"/>
  <c r="AP26" i="5"/>
  <c r="AQ26" i="5" s="1"/>
  <c r="AP33" i="5"/>
  <c r="AQ33" i="5" s="1"/>
  <c r="AP29" i="5"/>
  <c r="AQ29" i="5" s="1"/>
  <c r="AP36" i="5"/>
  <c r="AQ36" i="5" s="1"/>
  <c r="AP27" i="5"/>
  <c r="AQ27" i="5" s="1"/>
  <c r="AP31" i="5"/>
  <c r="AQ31" i="5" s="1"/>
  <c r="AP30" i="5"/>
  <c r="AQ30" i="5" s="1"/>
  <c r="AI38" i="5"/>
  <c r="R25" i="5"/>
  <c r="AJ25" i="5"/>
  <c r="AP35" i="5"/>
  <c r="AQ35" i="5" s="1"/>
  <c r="AP33" i="4"/>
  <c r="AQ33" i="4" s="1"/>
  <c r="AP35" i="4"/>
  <c r="AQ35" i="4" s="1"/>
  <c r="R29" i="2"/>
  <c r="AP28" i="4"/>
  <c r="AQ28" i="4" s="1"/>
  <c r="AP32" i="4"/>
  <c r="AQ32" i="4" s="1"/>
  <c r="AP27" i="4"/>
  <c r="AQ27" i="4" s="1"/>
  <c r="AP31" i="4"/>
  <c r="AQ31" i="4" s="1"/>
  <c r="AP36" i="4"/>
  <c r="AQ36" i="4" s="1"/>
  <c r="AP26" i="4"/>
  <c r="AQ26" i="4" s="1"/>
  <c r="AP34" i="4"/>
  <c r="AQ34" i="4" s="1"/>
  <c r="AI38" i="4"/>
  <c r="R25" i="4"/>
  <c r="AJ25" i="4"/>
  <c r="AP30" i="4"/>
  <c r="AQ30" i="4" s="1"/>
  <c r="AP29" i="4"/>
  <c r="AQ29" i="4" s="1"/>
  <c r="AJ28" i="3"/>
  <c r="R28" i="3"/>
  <c r="AP27" i="3"/>
  <c r="AQ27" i="3" s="1"/>
  <c r="AF38" i="2"/>
  <c r="AP35" i="3"/>
  <c r="AQ35" i="3" s="1"/>
  <c r="AI38" i="3"/>
  <c r="R25" i="3"/>
  <c r="AJ25" i="3"/>
  <c r="AJ34" i="3"/>
  <c r="R34" i="3"/>
  <c r="AJ26" i="3"/>
  <c r="R26" i="3"/>
  <c r="AP29" i="3"/>
  <c r="AQ29" i="3" s="1"/>
  <c r="AJ30" i="3"/>
  <c r="R30" i="3"/>
  <c r="AP33" i="3"/>
  <c r="AQ33" i="3" s="1"/>
  <c r="AP31" i="3"/>
  <c r="AQ31" i="3" s="1"/>
  <c r="AJ32" i="3"/>
  <c r="R32" i="3"/>
  <c r="AJ36" i="3"/>
  <c r="R36" i="3"/>
  <c r="AJ35" i="2"/>
  <c r="AP35" i="2" s="1"/>
  <c r="AQ35" i="2" s="1"/>
  <c r="R35" i="2"/>
  <c r="AJ34" i="2"/>
  <c r="AP34" i="2" s="1"/>
  <c r="AQ34" i="2" s="1"/>
  <c r="R34" i="2"/>
  <c r="AJ33" i="2"/>
  <c r="AP33" i="2" s="1"/>
  <c r="AQ33" i="2" s="1"/>
  <c r="R33" i="2"/>
  <c r="AJ28" i="2"/>
  <c r="AP28" i="2" s="1"/>
  <c r="AQ28" i="2" s="1"/>
  <c r="R28" i="2"/>
  <c r="AJ30" i="2"/>
  <c r="AP30" i="2" s="1"/>
  <c r="AQ30" i="2" s="1"/>
  <c r="R30" i="2"/>
  <c r="AJ32" i="2"/>
  <c r="AP32" i="2" s="1"/>
  <c r="AQ32" i="2" s="1"/>
  <c r="R32" i="2"/>
  <c r="AJ26" i="2"/>
  <c r="AP26" i="2" s="1"/>
  <c r="AQ26" i="2" s="1"/>
  <c r="R26" i="2"/>
  <c r="AJ36" i="2"/>
  <c r="AP36" i="2" s="1"/>
  <c r="AQ36" i="2" s="1"/>
  <c r="R36" i="2"/>
  <c r="AN26" i="1"/>
  <c r="AO26" i="1" s="1"/>
  <c r="AN29" i="1"/>
  <c r="AO29" i="1" s="1"/>
  <c r="AG30" i="1"/>
  <c r="AH30" i="1" s="1"/>
  <c r="Z31" i="1"/>
  <c r="AB31" i="1" s="1"/>
  <c r="AF31" i="1"/>
  <c r="AP25" i="15" l="1"/>
  <c r="AQ25" i="15" s="1"/>
  <c r="AK25" i="15"/>
  <c r="AH25" i="1"/>
  <c r="AK26" i="14"/>
  <c r="AI38" i="13"/>
  <c r="AJ25" i="13"/>
  <c r="AR25" i="12"/>
  <c r="AS25" i="12" s="1"/>
  <c r="AK26" i="12"/>
  <c r="AP25" i="11"/>
  <c r="AQ25" i="11" s="1"/>
  <c r="AK25" i="11"/>
  <c r="AP25" i="10"/>
  <c r="AQ25" i="10" s="1"/>
  <c r="AK25" i="10"/>
  <c r="AP25" i="9"/>
  <c r="AQ25" i="9" s="1"/>
  <c r="AK25" i="9"/>
  <c r="AP32" i="8"/>
  <c r="AQ32" i="8" s="1"/>
  <c r="AP25" i="8"/>
  <c r="AQ25" i="8" s="1"/>
  <c r="AK25" i="8"/>
  <c r="AK26" i="7"/>
  <c r="AP25" i="5"/>
  <c r="AQ25" i="5" s="1"/>
  <c r="AK25" i="5"/>
  <c r="AP25" i="4"/>
  <c r="AQ25" i="4" s="1"/>
  <c r="AK25" i="4"/>
  <c r="AP32" i="3"/>
  <c r="AQ32" i="3" s="1"/>
  <c r="AP26" i="3"/>
  <c r="AQ26" i="3" s="1"/>
  <c r="AP34" i="3"/>
  <c r="AQ34" i="3" s="1"/>
  <c r="AP25" i="3"/>
  <c r="AQ25" i="3" s="1"/>
  <c r="AK25" i="3"/>
  <c r="AR25" i="3" s="1"/>
  <c r="AS25" i="3" s="1"/>
  <c r="AP36" i="3"/>
  <c r="AQ36" i="3" s="1"/>
  <c r="AP30" i="3"/>
  <c r="AQ30" i="3" s="1"/>
  <c r="AP28" i="3"/>
  <c r="AQ28" i="3" s="1"/>
  <c r="AN30" i="1"/>
  <c r="AO30" i="1" s="1"/>
  <c r="AG31" i="1"/>
  <c r="AH31" i="1" s="1"/>
  <c r="Z32" i="1"/>
  <c r="AB32" i="1" s="1"/>
  <c r="AF32" i="1"/>
  <c r="AI25" i="1" l="1"/>
  <c r="AN25" i="1"/>
  <c r="AO25" i="1" s="1"/>
  <c r="AR25" i="15"/>
  <c r="AS25" i="15" s="1"/>
  <c r="AK26" i="15"/>
  <c r="AR26" i="14"/>
  <c r="AS26" i="14" s="1"/>
  <c r="AK27" i="14"/>
  <c r="AP25" i="13"/>
  <c r="AQ25" i="13" s="1"/>
  <c r="AK25" i="13"/>
  <c r="AR26" i="12"/>
  <c r="AS26" i="12" s="1"/>
  <c r="AK27" i="12"/>
  <c r="AR25" i="11"/>
  <c r="AS25" i="11" s="1"/>
  <c r="AK26" i="11"/>
  <c r="AR25" i="10"/>
  <c r="AS25" i="10" s="1"/>
  <c r="AK26" i="10"/>
  <c r="AR25" i="9"/>
  <c r="AS25" i="9" s="1"/>
  <c r="AK26" i="9"/>
  <c r="AR25" i="8"/>
  <c r="AS25" i="8" s="1"/>
  <c r="AK26" i="8"/>
  <c r="AR26" i="7"/>
  <c r="AS26" i="7" s="1"/>
  <c r="AK27" i="7"/>
  <c r="AR25" i="5"/>
  <c r="AS25" i="5" s="1"/>
  <c r="AK26" i="5"/>
  <c r="AR25" i="4"/>
  <c r="AS25" i="4" s="1"/>
  <c r="AK26" i="4"/>
  <c r="AK26" i="3"/>
  <c r="AN31" i="1"/>
  <c r="AO31" i="1" s="1"/>
  <c r="AG32" i="1"/>
  <c r="Z33" i="1"/>
  <c r="AB33" i="1" s="1"/>
  <c r="AF33" i="1"/>
  <c r="AR26" i="15" l="1"/>
  <c r="AS26" i="15" s="1"/>
  <c r="AK27" i="15"/>
  <c r="AH32" i="1"/>
  <c r="AI26" i="1"/>
  <c r="AP25" i="1"/>
  <c r="AQ25" i="1" s="1"/>
  <c r="AR27" i="14"/>
  <c r="AS27" i="14" s="1"/>
  <c r="AK28" i="14"/>
  <c r="AR25" i="13"/>
  <c r="AS25" i="13" s="1"/>
  <c r="AK26" i="13"/>
  <c r="AR27" i="12"/>
  <c r="AS27" i="12" s="1"/>
  <c r="AK28" i="12"/>
  <c r="AR26" i="11"/>
  <c r="AS26" i="11" s="1"/>
  <c r="AK27" i="11"/>
  <c r="AR26" i="10"/>
  <c r="AS26" i="10" s="1"/>
  <c r="AK27" i="10"/>
  <c r="AR26" i="9"/>
  <c r="AS26" i="9" s="1"/>
  <c r="AK27" i="9"/>
  <c r="AR26" i="8"/>
  <c r="AS26" i="8" s="1"/>
  <c r="AK27" i="8"/>
  <c r="AR27" i="7"/>
  <c r="AS27" i="7" s="1"/>
  <c r="AK28" i="7"/>
  <c r="AR26" i="5"/>
  <c r="AS26" i="5" s="1"/>
  <c r="AK27" i="5"/>
  <c r="AR26" i="4"/>
  <c r="AS26" i="4" s="1"/>
  <c r="AK27" i="4"/>
  <c r="AR26" i="3"/>
  <c r="AS26" i="3" s="1"/>
  <c r="AK27" i="3"/>
  <c r="AN32" i="1"/>
  <c r="AO32" i="1" s="1"/>
  <c r="AG33" i="1"/>
  <c r="AH33" i="1" s="1"/>
  <c r="Z34" i="1"/>
  <c r="AI27" i="1" l="1"/>
  <c r="AP26" i="1"/>
  <c r="AQ26" i="1" s="1"/>
  <c r="AR27" i="15"/>
  <c r="AS27" i="15" s="1"/>
  <c r="AK28" i="15"/>
  <c r="AB34" i="1"/>
  <c r="AR28" i="14"/>
  <c r="AS28" i="14" s="1"/>
  <c r="AK29" i="14"/>
  <c r="AR26" i="13"/>
  <c r="AS26" i="13" s="1"/>
  <c r="AK27" i="13"/>
  <c r="AR28" i="12"/>
  <c r="AS28" i="12" s="1"/>
  <c r="AK29" i="12"/>
  <c r="AR27" i="11"/>
  <c r="AS27" i="11" s="1"/>
  <c r="AK28" i="11"/>
  <c r="AR27" i="10"/>
  <c r="AS27" i="10" s="1"/>
  <c r="AK28" i="10"/>
  <c r="AR27" i="9"/>
  <c r="AS27" i="9" s="1"/>
  <c r="AK28" i="9"/>
  <c r="AR27" i="8"/>
  <c r="AS27" i="8" s="1"/>
  <c r="AK28" i="8"/>
  <c r="AR28" i="7"/>
  <c r="AS28" i="7" s="1"/>
  <c r="AK29" i="7"/>
  <c r="AR27" i="5"/>
  <c r="AS27" i="5" s="1"/>
  <c r="AK28" i="5"/>
  <c r="AR27" i="4"/>
  <c r="AS27" i="4" s="1"/>
  <c r="AK28" i="4"/>
  <c r="AR27" i="3"/>
  <c r="AS27" i="3" s="1"/>
  <c r="AK28" i="3"/>
  <c r="AN33" i="1"/>
  <c r="AO33" i="1" s="1"/>
  <c r="Z36" i="1"/>
  <c r="AB36" i="1" s="1"/>
  <c r="Z35" i="1"/>
  <c r="AB35" i="1" s="1"/>
  <c r="AF35" i="1"/>
  <c r="AF36" i="1"/>
  <c r="AF34" i="1"/>
  <c r="AF38" i="1" l="1"/>
  <c r="AG34" i="1"/>
  <c r="Z38" i="1"/>
  <c r="AR28" i="15"/>
  <c r="AS28" i="15" s="1"/>
  <c r="AK29" i="15"/>
  <c r="AB38" i="1"/>
  <c r="AI28" i="1"/>
  <c r="AP27" i="1"/>
  <c r="AQ27" i="1" s="1"/>
  <c r="AR29" i="14"/>
  <c r="AS29" i="14" s="1"/>
  <c r="AK30" i="14"/>
  <c r="AR27" i="13"/>
  <c r="AS27" i="13" s="1"/>
  <c r="AK28" i="13"/>
  <c r="AR29" i="12"/>
  <c r="AS29" i="12" s="1"/>
  <c r="AK30" i="12"/>
  <c r="AR28" i="11"/>
  <c r="AS28" i="11" s="1"/>
  <c r="AK29" i="11"/>
  <c r="AR28" i="10"/>
  <c r="AS28" i="10" s="1"/>
  <c r="AK29" i="10"/>
  <c r="AR28" i="9"/>
  <c r="AS28" i="9" s="1"/>
  <c r="AK29" i="9"/>
  <c r="AR28" i="8"/>
  <c r="AS28" i="8" s="1"/>
  <c r="AK29" i="8"/>
  <c r="AR29" i="7"/>
  <c r="AS29" i="7" s="1"/>
  <c r="AK30" i="7"/>
  <c r="AR28" i="5"/>
  <c r="AS28" i="5" s="1"/>
  <c r="AK29" i="5"/>
  <c r="AR28" i="4"/>
  <c r="AS28" i="4" s="1"/>
  <c r="AK29" i="4"/>
  <c r="AR28" i="3"/>
  <c r="AS28" i="3" s="1"/>
  <c r="AK29" i="3"/>
  <c r="AG35" i="1"/>
  <c r="AH35" i="1" s="1"/>
  <c r="AG36" i="1"/>
  <c r="AH36" i="1" s="1"/>
  <c r="AP28" i="1" l="1"/>
  <c r="AQ28" i="1" s="1"/>
  <c r="AI29" i="1"/>
  <c r="AR29" i="15"/>
  <c r="AS29" i="15" s="1"/>
  <c r="AK30" i="15"/>
  <c r="AH34" i="1"/>
  <c r="AN34" i="1" s="1"/>
  <c r="AO34" i="1" s="1"/>
  <c r="AG38" i="1"/>
  <c r="AI41" i="1"/>
  <c r="AG41" i="1"/>
  <c r="AH41" i="1"/>
  <c r="AF41" i="1"/>
  <c r="AR30" i="14"/>
  <c r="AS30" i="14" s="1"/>
  <c r="AK31" i="14"/>
  <c r="AR28" i="13"/>
  <c r="AS28" i="13" s="1"/>
  <c r="AK29" i="13"/>
  <c r="AR30" i="12"/>
  <c r="AS30" i="12" s="1"/>
  <c r="AK31" i="12"/>
  <c r="AR29" i="11"/>
  <c r="AS29" i="11" s="1"/>
  <c r="AK30" i="11"/>
  <c r="AR29" i="10"/>
  <c r="AS29" i="10" s="1"/>
  <c r="AK30" i="10"/>
  <c r="AR29" i="9"/>
  <c r="AS29" i="9" s="1"/>
  <c r="AK30" i="9"/>
  <c r="AR29" i="8"/>
  <c r="AS29" i="8" s="1"/>
  <c r="AK30" i="8"/>
  <c r="AR30" i="7"/>
  <c r="AS30" i="7" s="1"/>
  <c r="AK31" i="7"/>
  <c r="AR29" i="5"/>
  <c r="AS29" i="5" s="1"/>
  <c r="AK30" i="5"/>
  <c r="AR29" i="4"/>
  <c r="AS29" i="4" s="1"/>
  <c r="AK30" i="4"/>
  <c r="AR29" i="3"/>
  <c r="AS29" i="3" s="1"/>
  <c r="AK30" i="3"/>
  <c r="AN36" i="1"/>
  <c r="AO36" i="1" s="1"/>
  <c r="AN35" i="1"/>
  <c r="AO35" i="1" s="1"/>
  <c r="AR30" i="15" l="1"/>
  <c r="AS30" i="15" s="1"/>
  <c r="AK31" i="15"/>
  <c r="AI30" i="1"/>
  <c r="AP29" i="1"/>
  <c r="AQ29" i="1" s="1"/>
  <c r="AR31" i="14"/>
  <c r="AS31" i="14" s="1"/>
  <c r="AK32" i="14"/>
  <c r="AR29" i="13"/>
  <c r="AS29" i="13" s="1"/>
  <c r="AK30" i="13"/>
  <c r="AR31" i="12"/>
  <c r="AS31" i="12" s="1"/>
  <c r="AK32" i="12"/>
  <c r="AR30" i="11"/>
  <c r="AS30" i="11" s="1"/>
  <c r="AK31" i="11"/>
  <c r="AR30" i="10"/>
  <c r="AS30" i="10" s="1"/>
  <c r="AK31" i="10"/>
  <c r="AR30" i="9"/>
  <c r="AS30" i="9" s="1"/>
  <c r="AK31" i="9"/>
  <c r="AR30" i="8"/>
  <c r="AS30" i="8" s="1"/>
  <c r="AK31" i="8"/>
  <c r="AR31" i="7"/>
  <c r="AS31" i="7" s="1"/>
  <c r="AK32" i="7"/>
  <c r="AR30" i="5"/>
  <c r="AS30" i="5" s="1"/>
  <c r="AK31" i="5"/>
  <c r="AR30" i="4"/>
  <c r="AS30" i="4" s="1"/>
  <c r="AK31" i="4"/>
  <c r="AR30" i="3"/>
  <c r="AS30" i="3" s="1"/>
  <c r="AK31" i="3"/>
  <c r="AP30" i="1" l="1"/>
  <c r="AQ30" i="1" s="1"/>
  <c r="AI31" i="1"/>
  <c r="AR31" i="15"/>
  <c r="AS31" i="15" s="1"/>
  <c r="AK32" i="15"/>
  <c r="AR32" i="14"/>
  <c r="AS32" i="14" s="1"/>
  <c r="AK33" i="14"/>
  <c r="AR30" i="13"/>
  <c r="AS30" i="13" s="1"/>
  <c r="AK31" i="13"/>
  <c r="AR32" i="12"/>
  <c r="AS32" i="12" s="1"/>
  <c r="AK33" i="12"/>
  <c r="AR31" i="11"/>
  <c r="AS31" i="11" s="1"/>
  <c r="AK32" i="11"/>
  <c r="AR31" i="10"/>
  <c r="AS31" i="10" s="1"/>
  <c r="AK32" i="10"/>
  <c r="AR31" i="9"/>
  <c r="AS31" i="9" s="1"/>
  <c r="AK32" i="9"/>
  <c r="AR31" i="8"/>
  <c r="AS31" i="8" s="1"/>
  <c r="AK32" i="8"/>
  <c r="AR32" i="7"/>
  <c r="AS32" i="7" s="1"/>
  <c r="AK33" i="7"/>
  <c r="AR31" i="5"/>
  <c r="AS31" i="5" s="1"/>
  <c r="AK32" i="5"/>
  <c r="AR31" i="4"/>
  <c r="AS31" i="4" s="1"/>
  <c r="AK32" i="4"/>
  <c r="AR31" i="3"/>
  <c r="AS31" i="3" s="1"/>
  <c r="AK32" i="3"/>
  <c r="AR32" i="15" l="1"/>
  <c r="AS32" i="15" s="1"/>
  <c r="AK33" i="15"/>
  <c r="AP31" i="1"/>
  <c r="AQ31" i="1" s="1"/>
  <c r="AI32" i="1"/>
  <c r="AR33" i="14"/>
  <c r="AS33" i="14" s="1"/>
  <c r="AK34" i="14"/>
  <c r="AR31" i="13"/>
  <c r="AS31" i="13" s="1"/>
  <c r="AK32" i="13"/>
  <c r="AR33" i="12"/>
  <c r="AS33" i="12" s="1"/>
  <c r="AK34" i="12"/>
  <c r="AR32" i="11"/>
  <c r="AS32" i="11" s="1"/>
  <c r="AK33" i="11"/>
  <c r="AR32" i="10"/>
  <c r="AS32" i="10" s="1"/>
  <c r="AK33" i="10"/>
  <c r="AR32" i="9"/>
  <c r="AS32" i="9" s="1"/>
  <c r="AK33" i="9"/>
  <c r="AR32" i="8"/>
  <c r="AS32" i="8" s="1"/>
  <c r="AK33" i="8"/>
  <c r="AR33" i="7"/>
  <c r="AS33" i="7" s="1"/>
  <c r="AK34" i="7"/>
  <c r="AR32" i="5"/>
  <c r="AS32" i="5" s="1"/>
  <c r="AK33" i="5"/>
  <c r="AR32" i="4"/>
  <c r="AS32" i="4" s="1"/>
  <c r="AK33" i="4"/>
  <c r="AR32" i="3"/>
  <c r="AS32" i="3" s="1"/>
  <c r="AK33" i="3"/>
  <c r="AP32" i="1" l="1"/>
  <c r="AQ32" i="1" s="1"/>
  <c r="AI33" i="1"/>
  <c r="AR33" i="15"/>
  <c r="AS33" i="15" s="1"/>
  <c r="AK34" i="15"/>
  <c r="AR34" i="14"/>
  <c r="AS34" i="14" s="1"/>
  <c r="AK35" i="14"/>
  <c r="AR32" i="13"/>
  <c r="AS32" i="13" s="1"/>
  <c r="AK33" i="13"/>
  <c r="AR34" i="12"/>
  <c r="AS34" i="12" s="1"/>
  <c r="AK35" i="12"/>
  <c r="AR33" i="11"/>
  <c r="AS33" i="11" s="1"/>
  <c r="AK34" i="11"/>
  <c r="AR33" i="10"/>
  <c r="AS33" i="10" s="1"/>
  <c r="AK34" i="10"/>
  <c r="AR33" i="9"/>
  <c r="AS33" i="9" s="1"/>
  <c r="AK34" i="9"/>
  <c r="AR33" i="8"/>
  <c r="AS33" i="8" s="1"/>
  <c r="AK34" i="8"/>
  <c r="AR34" i="7"/>
  <c r="AS34" i="7" s="1"/>
  <c r="AK35" i="7"/>
  <c r="AR33" i="5"/>
  <c r="AS33" i="5" s="1"/>
  <c r="AK34" i="5"/>
  <c r="AR33" i="4"/>
  <c r="AS33" i="4" s="1"/>
  <c r="AK34" i="4"/>
  <c r="AR33" i="3"/>
  <c r="AS33" i="3" s="1"/>
  <c r="AK34" i="3"/>
  <c r="AR34" i="15" l="1"/>
  <c r="AS34" i="15" s="1"/>
  <c r="AK35" i="15"/>
  <c r="AP33" i="1"/>
  <c r="AQ33" i="1" s="1"/>
  <c r="AI34" i="1"/>
  <c r="AR35" i="14"/>
  <c r="AS35" i="14" s="1"/>
  <c r="AK36" i="14"/>
  <c r="AR33" i="13"/>
  <c r="AS33" i="13" s="1"/>
  <c r="AK34" i="13"/>
  <c r="AR35" i="12"/>
  <c r="AS35" i="12" s="1"/>
  <c r="AK36" i="12"/>
  <c r="AR34" i="11"/>
  <c r="AS34" i="11" s="1"/>
  <c r="AK35" i="11"/>
  <c r="AR34" i="10"/>
  <c r="AS34" i="10" s="1"/>
  <c r="AK35" i="10"/>
  <c r="AR34" i="9"/>
  <c r="AS34" i="9" s="1"/>
  <c r="AK35" i="9"/>
  <c r="AR34" i="8"/>
  <c r="AS34" i="8" s="1"/>
  <c r="AK35" i="8"/>
  <c r="AR35" i="7"/>
  <c r="AS35" i="7" s="1"/>
  <c r="AK36" i="7"/>
  <c r="AR34" i="5"/>
  <c r="AS34" i="5" s="1"/>
  <c r="AK35" i="5"/>
  <c r="AR34" i="4"/>
  <c r="AS34" i="4" s="1"/>
  <c r="AK35" i="4"/>
  <c r="AR34" i="3"/>
  <c r="AS34" i="3" s="1"/>
  <c r="AK35" i="3"/>
  <c r="AG25" i="2"/>
  <c r="C21" i="6"/>
  <c r="C17" i="6"/>
  <c r="C9" i="6"/>
  <c r="AP34" i="1" l="1"/>
  <c r="AQ34" i="1" s="1"/>
  <c r="AI35" i="1"/>
  <c r="AR35" i="15"/>
  <c r="AS35" i="15" s="1"/>
  <c r="AK36" i="15"/>
  <c r="AR36" i="15" s="1"/>
  <c r="AS36" i="15" s="1"/>
  <c r="AR36" i="14"/>
  <c r="AS36" i="14" s="1"/>
  <c r="AR36" i="12"/>
  <c r="AS36" i="12" s="1"/>
  <c r="AR34" i="13"/>
  <c r="AS34" i="13" s="1"/>
  <c r="AK35" i="13"/>
  <c r="AR36" i="7"/>
  <c r="AS36" i="7" s="1"/>
  <c r="AR35" i="11"/>
  <c r="AS35" i="11" s="1"/>
  <c r="AK36" i="11"/>
  <c r="AR35" i="10"/>
  <c r="AS35" i="10" s="1"/>
  <c r="AK36" i="10"/>
  <c r="AR35" i="9"/>
  <c r="AS35" i="9" s="1"/>
  <c r="AK36" i="9"/>
  <c r="AR35" i="8"/>
  <c r="AS35" i="8" s="1"/>
  <c r="AK36" i="8"/>
  <c r="AR35" i="5"/>
  <c r="AS35" i="5" s="1"/>
  <c r="AK36" i="5"/>
  <c r="AR35" i="4"/>
  <c r="AS35" i="4" s="1"/>
  <c r="AK36" i="4"/>
  <c r="AG38" i="2"/>
  <c r="AG41" i="2" s="1"/>
  <c r="AR35" i="3"/>
  <c r="AS35" i="3" s="1"/>
  <c r="AK36" i="3"/>
  <c r="AI25" i="2"/>
  <c r="AI38" i="2" s="1"/>
  <c r="D21" i="6"/>
  <c r="C11" i="6"/>
  <c r="C8" i="6"/>
  <c r="C3" i="6"/>
  <c r="D9" i="6"/>
  <c r="C12" i="6"/>
  <c r="C5" i="6"/>
  <c r="D17" i="6"/>
  <c r="C4" i="6"/>
  <c r="AP35" i="1" l="1"/>
  <c r="AQ35" i="1" s="1"/>
  <c r="AI36" i="1"/>
  <c r="AR36" i="11"/>
  <c r="AS36" i="11" s="1"/>
  <c r="AR35" i="13"/>
  <c r="AS35" i="13" s="1"/>
  <c r="AK36" i="13"/>
  <c r="AR36" i="10"/>
  <c r="AS36" i="10" s="1"/>
  <c r="AR36" i="9"/>
  <c r="AS36" i="9" s="1"/>
  <c r="AR36" i="8"/>
  <c r="AS36" i="8" s="1"/>
  <c r="AR36" i="3"/>
  <c r="AS36" i="3" s="1"/>
  <c r="AR36" i="4"/>
  <c r="AS36" i="4" s="1"/>
  <c r="AR36" i="5"/>
  <c r="AS36" i="5" s="1"/>
  <c r="AJ25" i="2"/>
  <c r="AP25" i="2" s="1"/>
  <c r="AQ25" i="2" s="1"/>
  <c r="R25" i="2"/>
  <c r="C15" i="6"/>
  <c r="C23" i="6"/>
  <c r="C19" i="6"/>
  <c r="D5" i="6"/>
  <c r="D15" i="6"/>
  <c r="D8" i="6"/>
  <c r="D3" i="6"/>
  <c r="D4" i="6"/>
  <c r="D12" i="6"/>
  <c r="D11" i="6"/>
  <c r="AR36" i="13" l="1"/>
  <c r="AS36" i="13" s="1"/>
  <c r="AP36" i="1"/>
  <c r="AQ36" i="1" s="1"/>
  <c r="AK25" i="2"/>
  <c r="AR25" i="2" s="1"/>
  <c r="AS25" i="2" s="1"/>
  <c r="D19" i="6"/>
  <c r="D23" i="6"/>
  <c r="AK26" i="2" l="1"/>
  <c r="AR26" i="2" s="1"/>
  <c r="AS26" i="2" s="1"/>
  <c r="AK27" i="2" l="1"/>
  <c r="AR27" i="2" s="1"/>
  <c r="AS27" i="2" s="1"/>
  <c r="AK28" i="2" l="1"/>
  <c r="AR28" i="2" s="1"/>
  <c r="AS28" i="2" s="1"/>
  <c r="AK29" i="2" l="1"/>
  <c r="AK30" i="2" s="1"/>
  <c r="AR29" i="2" l="1"/>
  <c r="AS29" i="2" s="1"/>
  <c r="AR30" i="2"/>
  <c r="AS30" i="2" s="1"/>
  <c r="AK31" i="2"/>
  <c r="AR31" i="2" l="1"/>
  <c r="AS31" i="2" s="1"/>
  <c r="AK32" i="2"/>
  <c r="AK33" i="2" l="1"/>
  <c r="AR32" i="2"/>
  <c r="AS32" i="2" s="1"/>
  <c r="AR33" i="2" l="1"/>
  <c r="AS33" i="2" s="1"/>
  <c r="AK34" i="2"/>
  <c r="AK35" i="2" l="1"/>
  <c r="AR34" i="2"/>
  <c r="AS34" i="2" s="1"/>
  <c r="AR35" i="2" l="1"/>
  <c r="AS35" i="2" s="1"/>
  <c r="AK36" i="2"/>
  <c r="C20" i="6"/>
  <c r="C16" i="6"/>
  <c r="C24" i="6"/>
  <c r="C6" i="6"/>
  <c r="C10" i="6"/>
  <c r="AR36" i="2" l="1"/>
  <c r="AS36" i="2" s="1"/>
  <c r="D16" i="6"/>
  <c r="D20" i="6"/>
  <c r="D24" i="6"/>
  <c r="D10" i="6"/>
  <c r="D6" i="6"/>
</calcChain>
</file>

<file path=xl/sharedStrings.xml><?xml version="1.0" encoding="utf-8"?>
<sst xmlns="http://schemas.openxmlformats.org/spreadsheetml/2006/main" count="1886" uniqueCount="112">
  <si>
    <t>compressor_sampled,csv</t>
  </si>
  <si>
    <t>compressor_sampled_with_turbine,csv</t>
  </si>
  <si>
    <t>genset,csv</t>
  </si>
  <si>
    <t>pump_chart,csv</t>
  </si>
  <si>
    <t>pump_sampled,csv</t>
  </si>
  <si>
    <t>[MW]</t>
  </si>
  <si>
    <t>[Sm3/day]</t>
  </si>
  <si>
    <t>SPEED</t>
  </si>
  <si>
    <t>RATE</t>
  </si>
  <si>
    <t>HEAD</t>
  </si>
  <si>
    <t>EFFICIENCY</t>
  </si>
  <si>
    <t>POWER</t>
  </si>
  <si>
    <t>Sm3/d</t>
  </si>
  <si>
    <t>Dates</t>
  </si>
  <si>
    <t>#</t>
  </si>
  <si>
    <t xml:space="preserve">     Sm3/d</t>
  </si>
  <si>
    <t xml:space="preserve">       Sm3/d</t>
  </si>
  <si>
    <t xml:space="preserve">      Sm3/d</t>
  </si>
  <si>
    <t>MW</t>
  </si>
  <si>
    <t>Base production load</t>
  </si>
  <si>
    <t>Gas injection compressor</t>
  </si>
  <si>
    <t>Seawater injection pump</t>
  </si>
  <si>
    <t>produced water reinjection pump</t>
  </si>
  <si>
    <t>Total</t>
  </si>
  <si>
    <t>Energy usage</t>
  </si>
  <si>
    <t>[rpm]</t>
  </si>
  <si>
    <t>[m]</t>
  </si>
  <si>
    <t>[m3/h]</t>
  </si>
  <si>
    <t>[%]</t>
  </si>
  <si>
    <t>Fuel Usage</t>
  </si>
  <si>
    <t>Gas export compressor</t>
  </si>
  <si>
    <t>Flare</t>
  </si>
  <si>
    <t>Generator Set A</t>
  </si>
  <si>
    <t>CO2</t>
  </si>
  <si>
    <t>ton/d</t>
  </si>
  <si>
    <t>ton_acc</t>
  </si>
  <si>
    <t>Qo</t>
  </si>
  <si>
    <t>Qgp</t>
  </si>
  <si>
    <t>Qwp</t>
  </si>
  <si>
    <t>Qwi</t>
  </si>
  <si>
    <t>Qgi</t>
  </si>
  <si>
    <t>Qgl</t>
  </si>
  <si>
    <t>Qgi+Qgl</t>
  </si>
  <si>
    <t>Qg exp</t>
  </si>
  <si>
    <t>Qwi Reinj.</t>
  </si>
  <si>
    <t>Qwi SeaW.</t>
  </si>
  <si>
    <t>Power</t>
  </si>
  <si>
    <t>Fuel</t>
  </si>
  <si>
    <t>Rate</t>
  </si>
  <si>
    <t>Fueal</t>
  </si>
  <si>
    <t>Qg Flare</t>
  </si>
  <si>
    <t>Qhc</t>
  </si>
  <si>
    <t>Qwi Total</t>
  </si>
  <si>
    <t>Water Pump Calculations</t>
  </si>
  <si>
    <t>rhoW</t>
  </si>
  <si>
    <t>dp</t>
  </si>
  <si>
    <t>kg/m3</t>
  </si>
  <si>
    <t>bar</t>
  </si>
  <si>
    <t>head</t>
  </si>
  <si>
    <t>m</t>
  </si>
  <si>
    <t>Efficiency</t>
  </si>
  <si>
    <t>kg CO2/Sm3</t>
  </si>
  <si>
    <t>w é a rotação da bomba.</t>
  </si>
  <si>
    <t>kg/Sm3</t>
  </si>
  <si>
    <t>kg/Boe</t>
  </si>
  <si>
    <t>Q/w</t>
  </si>
  <si>
    <t>H/w2</t>
  </si>
  <si>
    <t>pin</t>
  </si>
  <si>
    <t>pout</t>
  </si>
  <si>
    <t>w max</t>
  </si>
  <si>
    <t>w min</t>
  </si>
  <si>
    <t>Speed</t>
  </si>
  <si>
    <t>Head</t>
  </si>
  <si>
    <t>CO2 intensity (anual)</t>
  </si>
  <si>
    <t>CO2 intensity (cumulative)</t>
  </si>
  <si>
    <t>Np hc eq</t>
  </si>
  <si>
    <t>1E6 Sm3</t>
  </si>
  <si>
    <t>Year</t>
  </si>
  <si>
    <t>Gas Loss</t>
  </si>
  <si>
    <t>Qg Fuel</t>
  </si>
  <si>
    <t>Qg Fuel 'error'</t>
  </si>
  <si>
    <t>SeaW. 'share'</t>
  </si>
  <si>
    <t>SeaW. Max</t>
  </si>
  <si>
    <t>Discharge Limit</t>
  </si>
  <si>
    <t>x</t>
  </si>
  <si>
    <t>Scenario</t>
  </si>
  <si>
    <t>2pcLoss</t>
  </si>
  <si>
    <t>1pcLoss</t>
  </si>
  <si>
    <t>0.5pcLoss</t>
  </si>
  <si>
    <t>Adjusted</t>
  </si>
  <si>
    <t>ton CO2</t>
  </si>
  <si>
    <t>kg CO2/boe</t>
  </si>
  <si>
    <t>Sheet</t>
  </si>
  <si>
    <t>Base-20pc</t>
  </si>
  <si>
    <t>Base-10pc</t>
  </si>
  <si>
    <t>Base+10pc</t>
  </si>
  <si>
    <t>Base+20pc</t>
  </si>
  <si>
    <t>No Export</t>
  </si>
  <si>
    <t>Base Case</t>
  </si>
  <si>
    <t>No Gas Inj.</t>
  </si>
  <si>
    <t>NoGasExport</t>
  </si>
  <si>
    <t>MaxExport</t>
  </si>
  <si>
    <t>MinSeaWat</t>
  </si>
  <si>
    <t>MaxSeaWat</t>
  </si>
  <si>
    <t>Min. Qwi sea</t>
  </si>
  <si>
    <t>Max. Qwi sea</t>
  </si>
  <si>
    <t>Original</t>
  </si>
  <si>
    <t>Modified</t>
  </si>
  <si>
    <t>External Energy</t>
  </si>
  <si>
    <t>Wind-farm</t>
  </si>
  <si>
    <t>WindFarm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</si>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</sst>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"/>
    <numFmt numFmtId="165" formatCode="_-* #,##0_-;\-* #,##0_-;_-* &quot;-&quot;??_-;_-@_-"/>
    <numFmt numFmtId="166" formatCode="_-* #,##0.00000_-;\-* #,##0.00000_-;_-* &quot;-&quot;??_-;_-@_-"/>
    <numFmt numFmtId="167" formatCode="_-* #,##0.0_-;\-* #,##0.0_-;_-* &quot;-&quot;??_-;_-@_-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393A34"/>
      <name val="Arial Unicode MS"/>
      <family val="2"/>
    </font>
    <font>
      <sz val="18"/>
      <color theme="3"/>
      <name val="Cambria"/>
      <family val="2"/>
      <scheme val="major"/>
    </font>
    <font>
      <b/>
      <sz val="18"/>
      <color theme="3"/>
      <name val="Cambria"/>
      <family val="2"/>
      <scheme val="maj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0" fontId="17" fillId="0" borderId="0" xfId="0" applyFont="1" applyAlignment="1">
      <alignment vertical="center"/>
    </xf>
    <xf numFmtId="164" fontId="0" fillId="0" borderId="0" xfId="0" applyNumberFormat="1"/>
    <xf numFmtId="165" fontId="0" fillId="0" borderId="0" xfId="1" applyNumberFormat="1" applyFont="1"/>
    <xf numFmtId="165" fontId="17" fillId="0" borderId="0" xfId="1" applyNumberFormat="1" applyFont="1" applyAlignment="1">
      <alignment vertical="center"/>
    </xf>
    <xf numFmtId="165" fontId="0" fillId="0" borderId="0" xfId="0" applyNumberFormat="1"/>
    <xf numFmtId="0" fontId="15" fillId="0" borderId="0" xfId="0" applyFont="1"/>
    <xf numFmtId="22" fontId="0" fillId="0" borderId="0" xfId="0" applyNumberFormat="1"/>
    <xf numFmtId="165" fontId="0" fillId="33" borderId="0" xfId="1" applyNumberFormat="1" applyFont="1" applyFill="1"/>
    <xf numFmtId="0" fontId="0" fillId="33" borderId="0" xfId="0" applyFill="1"/>
    <xf numFmtId="43" fontId="0" fillId="0" borderId="0" xfId="0" applyNumberFormat="1"/>
    <xf numFmtId="2" fontId="0" fillId="0" borderId="0" xfId="0" applyNumberFormat="1"/>
    <xf numFmtId="1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33" borderId="0" xfId="0" applyNumberFormat="1" applyFill="1"/>
    <xf numFmtId="1" fontId="0" fillId="33" borderId="0" xfId="0" applyNumberFormat="1" applyFill="1"/>
    <xf numFmtId="14" fontId="20" fillId="33" borderId="0" xfId="0" applyNumberFormat="1" applyFont="1" applyFill="1" applyAlignment="1">
      <alignment vertical="center"/>
    </xf>
    <xf numFmtId="9" fontId="0" fillId="0" borderId="0" xfId="44" applyFont="1"/>
    <xf numFmtId="10" fontId="0" fillId="0" borderId="0" xfId="44" applyNumberFormat="1" applyFont="1"/>
    <xf numFmtId="10" fontId="0" fillId="0" borderId="0" xfId="0" applyNumberFormat="1"/>
    <xf numFmtId="10" fontId="0" fillId="33" borderId="0" xfId="44" applyNumberFormat="1" applyFont="1" applyFill="1"/>
    <xf numFmtId="9" fontId="0" fillId="0" borderId="0" xfId="0" applyNumberFormat="1"/>
    <xf numFmtId="43" fontId="0" fillId="33" borderId="0" xfId="0" applyNumberFormat="1" applyFill="1"/>
  </cellXfs>
  <cellStyles count="45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Porcentagem" xfId="44" builtinId="5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itle 2" xfId="42" xr:uid="{00000000-0005-0000-0000-000029000000}"/>
    <cellStyle name="Título" xfId="43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1" builtinId="3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Original!$AD$22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ED-40F4-B2AC-E9CAEA3A6B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ED-40F4-B2AC-E9CAEA3A6B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ED-40F4-B2AC-E9CAEA3A6B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Original!$AD$23:$AF$23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Original!$AD$29:$AF$29</c:f>
              <c:numCache>
                <c:formatCode>_-* #,##0_-;\-* #,##0_-;_-* "-"??_-;_-@_-</c:formatCode>
                <c:ptCount val="3"/>
                <c:pt idx="0">
                  <c:v>7000</c:v>
                </c:pt>
                <c:pt idx="1">
                  <c:v>134571.42857142858</c:v>
                </c:pt>
                <c:pt idx="2">
                  <c:v>195362.86588762986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B-4F1D-B637-6231C9F4F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Original!$X$22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27-4366-B27F-57E5088BCC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27-4366-B27F-57E5088BCC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27-4366-B27F-57E5088BCC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18-414D-BD0C-05C4D486FF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Original!$X$23:$AA$23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Original!$X$29:$AA$29</c:f>
              <c:numCache>
                <c:formatCode>General</c:formatCode>
                <c:ptCount val="4"/>
                <c:pt idx="0">
                  <c:v>11.8</c:v>
                </c:pt>
                <c:pt idx="1">
                  <c:v>5.72</c:v>
                </c:pt>
                <c:pt idx="2" formatCode="_(* #,##0.00_);_(* \(#,##0.00\);_(* &quot;-&quot;??_);_(@_)">
                  <c:v>3.9108022573770929</c:v>
                </c:pt>
                <c:pt idx="3" formatCode="0.00">
                  <c:v>9.7567567567567561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B-4F1D-B637-6231C9F4F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Original!$AK$25:$AK$36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Original!$AO$25:$AO$36</c:f>
              <c:numCache>
                <c:formatCode>_-* #,##0.0_-;\-* #,##0.0_-;_-* "-"??_-;_-@_-</c:formatCode>
                <c:ptCount val="12"/>
                <c:pt idx="0">
                  <c:v>8.7879099011299804</c:v>
                </c:pt>
                <c:pt idx="1">
                  <c:v>9.560626410255308</c:v>
                </c:pt>
                <c:pt idx="2">
                  <c:v>10.00854750177202</c:v>
                </c:pt>
                <c:pt idx="3">
                  <c:v>11.277993073944986</c:v>
                </c:pt>
                <c:pt idx="4">
                  <c:v>11.849594592432078</c:v>
                </c:pt>
                <c:pt idx="5">
                  <c:v>11.963276425812035</c:v>
                </c:pt>
                <c:pt idx="6">
                  <c:v>11.022362315546818</c:v>
                </c:pt>
                <c:pt idx="7">
                  <c:v>11.721321227427213</c:v>
                </c:pt>
                <c:pt idx="8">
                  <c:v>12.297134106580346</c:v>
                </c:pt>
                <c:pt idx="9">
                  <c:v>12.042442396983425</c:v>
                </c:pt>
                <c:pt idx="10">
                  <c:v>11.41621369855368</c:v>
                </c:pt>
                <c:pt idx="11">
                  <c:v>12.779681324695478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41-4762-9F66-8A18E3D45975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Original!$AK$25:$AK$36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Original!$AQ$25:$AQ$36</c:f>
              <c:numCache>
                <c:formatCode>_-* #,##0.0_-;\-* #,##0.0_-;_-* "-"??_-;_-@_-</c:formatCode>
                <c:ptCount val="12"/>
                <c:pt idx="0">
                  <c:v>8.7879099011299822</c:v>
                </c:pt>
                <c:pt idx="1">
                  <c:v>9.1598398391322142</c:v>
                </c:pt>
                <c:pt idx="2">
                  <c:v>9.4207930572427294</c:v>
                </c:pt>
                <c:pt idx="3">
                  <c:v>9.8288773658454662</c:v>
                </c:pt>
                <c:pt idx="4">
                  <c:v>10.195943430858447</c:v>
                </c:pt>
                <c:pt idx="5">
                  <c:v>10.469948546355127</c:v>
                </c:pt>
                <c:pt idx="6">
                  <c:v>10.551056917228511</c:v>
                </c:pt>
                <c:pt idx="7">
                  <c:v>10.693772077008838</c:v>
                </c:pt>
                <c:pt idx="8">
                  <c:v>10.85310198580517</c:v>
                </c:pt>
                <c:pt idx="9">
                  <c:v>10.939620444426284</c:v>
                </c:pt>
                <c:pt idx="10">
                  <c:v>10.973938590538069</c:v>
                </c:pt>
                <c:pt idx="11">
                  <c:v>11.080968219150275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41-4762-9F66-8A18E3D45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tickLblSkip val="2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Original!$AD$22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ED-40F4-B2AC-E9CAEA3A6B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ED-40F4-B2AC-E9CAEA3A6B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ED-40F4-B2AC-E9CAEA3A6B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Original!$AD$40:$AI$40</c:f>
              <c:strCache>
                <c:ptCount val="6"/>
                <c:pt idx="0">
                  <c:v>Flare</c:v>
                </c:pt>
                <c:pt idx="1">
                  <c:v>Gas export compressor</c:v>
                </c:pt>
                <c:pt idx="2">
                  <c:v>Base production load</c:v>
                </c:pt>
                <c:pt idx="3">
                  <c:v>Gas injection compressor</c:v>
                </c:pt>
                <c:pt idx="4">
                  <c:v>produced water reinjection pump</c:v>
                </c:pt>
                <c:pt idx="5">
                  <c:v>Seawater injection pump</c:v>
                </c:pt>
              </c:strCache>
            </c:strRef>
          </c:cat>
          <c:val>
            <c:numRef>
              <c:f>Original!$AD$41:$AI$41</c:f>
              <c:numCache>
                <c:formatCode>0.0</c:formatCode>
                <c:ptCount val="6"/>
                <c:pt idx="0">
                  <c:v>7000</c:v>
                </c:pt>
                <c:pt idx="1">
                  <c:v>112952.38095238095</c:v>
                </c:pt>
                <c:pt idx="2" formatCode="General">
                  <c:v>73924.991593537241</c:v>
                </c:pt>
                <c:pt idx="3" formatCode="General">
                  <c:v>37541.992552904405</c:v>
                </c:pt>
                <c:pt idx="4" formatCode="General">
                  <c:v>29515.044211020173</c:v>
                </c:pt>
                <c:pt idx="5" formatCode="General">
                  <c:v>52288.047335041745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B-4F1D-B637-6231C9F4F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Pump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H 3250 rpm</c:v>
          </c:tx>
          <c:spPr>
            <a:ln w="254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Original!$AA$6:$AA$11</c:f>
              <c:numCache>
                <c:formatCode>_-* #,##0_-;\-* #,##0_-;_-* "-"??_-;_-@_-</c:formatCode>
                <c:ptCount val="6"/>
                <c:pt idx="0">
                  <c:v>250</c:v>
                </c:pt>
                <c:pt idx="1">
                  <c:v>360</c:v>
                </c:pt>
                <c:pt idx="2">
                  <c:v>500</c:v>
                </c:pt>
                <c:pt idx="3">
                  <c:v>600</c:v>
                </c:pt>
                <c:pt idx="4">
                  <c:v>667</c:v>
                </c:pt>
                <c:pt idx="5">
                  <c:v>735</c:v>
                </c:pt>
              </c:numCache>
            </c:numRef>
          </c:xVal>
          <c:yVal>
            <c:numRef>
              <c:f>Original!$AB$6:$AB$11</c:f>
              <c:numCache>
                <c:formatCode>_-* #,##0_-;\-* #,##0_-;_-* "-"??_-;_-@_-</c:formatCode>
                <c:ptCount val="6"/>
                <c:pt idx="0">
                  <c:v>2640</c:v>
                </c:pt>
                <c:pt idx="1">
                  <c:v>2490</c:v>
                </c:pt>
                <c:pt idx="2">
                  <c:v>2342</c:v>
                </c:pt>
                <c:pt idx="3">
                  <c:v>2210</c:v>
                </c:pt>
                <c:pt idx="4">
                  <c:v>2068</c:v>
                </c:pt>
                <c:pt idx="5">
                  <c:v>1870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3E9-4011-A5E0-8B2220CED830}"/>
            </c:ext>
          </c:extLst>
        </c:ser>
        <c:ser>
          <c:idx val="0"/>
          <c:order val="2"/>
          <c:tx>
            <c:v>H 3750 rpm</c:v>
          </c:tx>
          <c:spPr>
            <a:ln w="25400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Original!$AA$15:$AA$20</c:f>
              <c:numCache>
                <c:formatCode>_-* #,##0_-;\-* #,##0_-;_-* "-"??_-;_-@_-</c:formatCode>
                <c:ptCount val="6"/>
                <c:pt idx="0">
                  <c:v>288.46153846153845</c:v>
                </c:pt>
                <c:pt idx="1">
                  <c:v>415.38461538461542</c:v>
                </c:pt>
                <c:pt idx="2">
                  <c:v>576.92307692307691</c:v>
                </c:pt>
                <c:pt idx="3">
                  <c:v>692.30769230769238</c:v>
                </c:pt>
                <c:pt idx="4">
                  <c:v>769.61538461538464</c:v>
                </c:pt>
                <c:pt idx="5">
                  <c:v>848.07692307692309</c:v>
                </c:pt>
              </c:numCache>
            </c:numRef>
          </c:xVal>
          <c:yVal>
            <c:numRef>
              <c:f>Original!$AB$15:$AB$20</c:f>
              <c:numCache>
                <c:formatCode>_-* #,##0_-;\-* #,##0_-;_-* "-"??_-;_-@_-</c:formatCode>
                <c:ptCount val="6"/>
                <c:pt idx="0">
                  <c:v>3514.792899408284</c:v>
                </c:pt>
                <c:pt idx="1">
                  <c:v>3315.0887573964496</c:v>
                </c:pt>
                <c:pt idx="2">
                  <c:v>3118.0473372781066</c:v>
                </c:pt>
                <c:pt idx="3">
                  <c:v>2942.3076923076924</c:v>
                </c:pt>
                <c:pt idx="4">
                  <c:v>2753.2544378698226</c:v>
                </c:pt>
                <c:pt idx="5">
                  <c:v>2489.6449704142015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E9-4011-A5E0-8B2220CED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329024"/>
        <c:axId val="2034848720"/>
      </c:scatterChart>
      <c:scatterChart>
        <c:scatterStyle val="lineMarker"/>
        <c:varyColors val="0"/>
        <c:ser>
          <c:idx val="3"/>
          <c:order val="1"/>
          <c:tx>
            <c:v>Ef. 3250 rpm</c:v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Original!$AA$6:$AA$11</c:f>
              <c:numCache>
                <c:formatCode>_-* #,##0_-;\-* #,##0_-;_-* "-"??_-;_-@_-</c:formatCode>
                <c:ptCount val="6"/>
                <c:pt idx="0">
                  <c:v>250</c:v>
                </c:pt>
                <c:pt idx="1">
                  <c:v>360</c:v>
                </c:pt>
                <c:pt idx="2">
                  <c:v>500</c:v>
                </c:pt>
                <c:pt idx="3">
                  <c:v>600</c:v>
                </c:pt>
                <c:pt idx="4">
                  <c:v>667</c:v>
                </c:pt>
                <c:pt idx="5">
                  <c:v>735</c:v>
                </c:pt>
              </c:numCache>
            </c:numRef>
          </c:xVal>
          <c:yVal>
            <c:numRef>
              <c:f>Original!$AC$6:$AC$11</c:f>
              <c:numCache>
                <c:formatCode>_-* #,##0_-;\-* #,##0_-;_-* "-"??_-;_-@_-</c:formatCode>
                <c:ptCount val="6"/>
                <c:pt idx="0">
                  <c:v>59</c:v>
                </c:pt>
                <c:pt idx="1">
                  <c:v>68</c:v>
                </c:pt>
                <c:pt idx="2">
                  <c:v>77</c:v>
                </c:pt>
                <c:pt idx="3">
                  <c:v>80</c:v>
                </c:pt>
                <c:pt idx="4">
                  <c:v>78</c:v>
                </c:pt>
                <c:pt idx="5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3E9-4011-A5E0-8B2220CED830}"/>
            </c:ext>
          </c:extLst>
        </c:ser>
        <c:ser>
          <c:idx val="1"/>
          <c:order val="3"/>
          <c:tx>
            <c:v>Ef. 3750 rpm</c:v>
          </c:tx>
          <c:spPr>
            <a:ln w="254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Original!$AA$15:$AA$20</c:f>
              <c:numCache>
                <c:formatCode>_-* #,##0_-;\-* #,##0_-;_-* "-"??_-;_-@_-</c:formatCode>
                <c:ptCount val="6"/>
                <c:pt idx="0">
                  <c:v>288.46153846153845</c:v>
                </c:pt>
                <c:pt idx="1">
                  <c:v>415.38461538461542</c:v>
                </c:pt>
                <c:pt idx="2">
                  <c:v>576.92307692307691</c:v>
                </c:pt>
                <c:pt idx="3">
                  <c:v>692.30769230769238</c:v>
                </c:pt>
                <c:pt idx="4">
                  <c:v>769.61538461538464</c:v>
                </c:pt>
                <c:pt idx="5">
                  <c:v>848.07692307692309</c:v>
                </c:pt>
              </c:numCache>
            </c:numRef>
          </c:xVal>
          <c:yVal>
            <c:numRef>
              <c:f>Original!$AC$15:$AC$20</c:f>
              <c:numCache>
                <c:formatCode>_-* #,##0_-;\-* #,##0_-;_-* "-"??_-;_-@_-</c:formatCode>
                <c:ptCount val="6"/>
                <c:pt idx="0">
                  <c:v>59</c:v>
                </c:pt>
                <c:pt idx="1">
                  <c:v>68</c:v>
                </c:pt>
                <c:pt idx="2">
                  <c:v>77</c:v>
                </c:pt>
                <c:pt idx="3">
                  <c:v>80</c:v>
                </c:pt>
                <c:pt idx="4">
                  <c:v>78</c:v>
                </c:pt>
                <c:pt idx="5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3E9-4011-A5E0-8B2220CED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860624"/>
        <c:axId val="2034858144"/>
      </c:scatterChart>
      <c:valAx>
        <c:axId val="189332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pt-BR" sz="1200"/>
                  <a:t>Rate</a:t>
                </a:r>
                <a:r>
                  <a:rPr lang="pt-BR" sz="1200" baseline="0"/>
                  <a:t> [m3/h]</a:t>
                </a:r>
                <a:endParaRPr lang="pt-BR" sz="1200"/>
              </a:p>
            </c:rich>
          </c:tx>
          <c:overlay val="0"/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848720"/>
        <c:crosses val="autoZero"/>
        <c:crossBetween val="midCat"/>
      </c:valAx>
      <c:valAx>
        <c:axId val="20348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pt-BR" sz="1200"/>
                  <a:t>Head</a:t>
                </a:r>
                <a:r>
                  <a:rPr lang="pt-BR" sz="1200" baseline="0"/>
                  <a:t> [m]</a:t>
                </a:r>
                <a:endParaRPr lang="pt-BR" sz="1200"/>
              </a:p>
            </c:rich>
          </c:tx>
          <c:overlay val="0"/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3329024"/>
        <c:crosses val="autoZero"/>
        <c:crossBetween val="midCat"/>
      </c:valAx>
      <c:valAx>
        <c:axId val="20348581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/>
                </a:pPr>
                <a:r>
                  <a:rPr lang="pt-BR" sz="1200"/>
                  <a:t>Efficiency [%]</a:t>
                </a:r>
              </a:p>
            </c:rich>
          </c:tx>
          <c:overlay val="0"/>
        </c:title>
        <c:numFmt formatCode="_-* #,##0_-;\-* #,##0_-;_-* &quot;-&quot;??_-;_-@_-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860624"/>
        <c:crosses val="max"/>
        <c:crossBetween val="midCat"/>
      </c:valAx>
      <c:valAx>
        <c:axId val="2034860624"/>
        <c:scaling>
          <c:orientation val="minMax"/>
        </c:scaling>
        <c:delete val="1"/>
        <c:axPos val="b"/>
        <c:numFmt formatCode="_-* #,##0_-;\-* #,##0_-;_-* &quot;-&quot;??_-;_-@_-" sourceLinked="1"/>
        <c:majorTickMark val="out"/>
        <c:minorTickMark val="none"/>
        <c:tickLblPos val="nextTo"/>
        <c:crossAx val="203485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0466339082400875"/>
          <c:y val="0.43428577471714941"/>
          <c:w val="0.24932372564156394"/>
          <c:h val="0.32382596115408291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</c:sp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Original!$X$22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Original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Original!$X$23:$AA$23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Original!$X$38:$AA$38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4.7112284246845357</c:v>
                </c:pt>
                <c:pt idx="3">
                  <c:v>8.3462837837837842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5-4979-9EA9-D03B7C33411E}"/>
            </c:ext>
          </c:extLst>
        </c:ser>
        <c:ser>
          <c:idx val="1"/>
          <c:order val="1"/>
          <c:tx>
            <c:v>Adjusted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Adjusted!$Z$38:$AC$38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A5-4979-9EA9-D03B7C334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0654944"/>
        <c:axId val="2034843760"/>
      </c:barChart>
      <c:catAx>
        <c:axId val="143065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843760"/>
        <c:crosses val="autoZero"/>
        <c:auto val="1"/>
        <c:lblAlgn val="ctr"/>
        <c:lblOffset val="100"/>
        <c:noMultiLvlLbl val="0"/>
      </c:catAx>
      <c:valAx>
        <c:axId val="203484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65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43853893263347"/>
          <c:y val="0.21385097696121322"/>
          <c:w val="0.16078368328958881"/>
          <c:h val="0.17866360454943131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Original!$AD$22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Original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Original!$AD$23:$AF$23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Original!$AD$38:$AF$38</c:f>
              <c:numCache>
                <c:formatCode>0.0</c:formatCode>
                <c:ptCount val="3"/>
                <c:pt idx="0">
                  <c:v>7000</c:v>
                </c:pt>
                <c:pt idx="1">
                  <c:v>112952.38095238095</c:v>
                </c:pt>
                <c:pt idx="2">
                  <c:v>193270.07569250357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68-4DAB-A713-5E9E74749B4A}"/>
            </c:ext>
          </c:extLst>
        </c:ser>
        <c:ser>
          <c:idx val="1"/>
          <c:order val="1"/>
          <c:tx>
            <c:v>Adjusted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Original!$AD$23:$AF$23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Adjusted!$AF$38:$AH$38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199261.90909502015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68-4DAB-A713-5E9E7474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0654944"/>
        <c:axId val="2034843760"/>
      </c:barChart>
      <c:catAx>
        <c:axId val="143065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843760"/>
        <c:crosses val="autoZero"/>
        <c:auto val="1"/>
        <c:lblAlgn val="ctr"/>
        <c:lblOffset val="100"/>
        <c:noMultiLvlLbl val="0"/>
      </c:catAx>
      <c:valAx>
        <c:axId val="203484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Sm³/d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65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088298337707786"/>
          <c:y val="0.23699912510936133"/>
          <c:w val="0.16078368328958881"/>
          <c:h val="0.17866360454943131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Adjusted!$AF$22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DE-4FB2-BDBE-87D1B9BBA90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DE-4FB2-BDBE-87D1B9BBA90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DE-4FB2-BDBE-87D1B9BBA9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Adjusted!$AF$23:$AH$23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Adjusted!$AF$38:$AH$38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199261.90909502015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E-4FB2-BDBE-87D1B9BBA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Adjusted!$Z$22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A2-47C0-B42F-13AA179EFE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A2-47C0-B42F-13AA179EFE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A2-47C0-B42F-13AA179EFEC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A2-47C0-B42F-13AA179EFE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Adjusted!$Z$23:$AC$23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Adjusted!$Z$38:$AC$38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A2-47C0-B42F-13AA179EF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Adjusted!$AM$25:$AM$36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Adjusted!$AQ$25:$AQ$36</c:f>
              <c:numCache>
                <c:formatCode>_-* #,##0.0_-;\-* #,##0.0_-;_-* "-"??_-;_-@_-</c:formatCode>
                <c:ptCount val="12"/>
                <c:pt idx="0">
                  <c:v>6.8912494707830856</c:v>
                </c:pt>
                <c:pt idx="1">
                  <c:v>7.3844901475029889</c:v>
                </c:pt>
                <c:pt idx="2">
                  <c:v>7.8643437544279706</c:v>
                </c:pt>
                <c:pt idx="3">
                  <c:v>8.8761857032933396</c:v>
                </c:pt>
                <c:pt idx="4">
                  <c:v>8.9953236833150285</c:v>
                </c:pt>
                <c:pt idx="5">
                  <c:v>9.1211055869479321</c:v>
                </c:pt>
                <c:pt idx="6">
                  <c:v>8.2468225184981883</c:v>
                </c:pt>
                <c:pt idx="7">
                  <c:v>9.1930482361785852</c:v>
                </c:pt>
                <c:pt idx="8">
                  <c:v>9.3526352459611424</c:v>
                </c:pt>
                <c:pt idx="9">
                  <c:v>9.8478499505887651</c:v>
                </c:pt>
                <c:pt idx="10">
                  <c:v>9.0816780819497254</c:v>
                </c:pt>
                <c:pt idx="11">
                  <c:v>12.757224145410129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5-4C74-9986-5F6E00229677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Adjusted!$AM$25:$AM$36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Adjusted!$AS$25:$AS$36</c:f>
              <c:numCache>
                <c:formatCode>_-* #,##0.0_-;\-* #,##0.0_-;_-* "-"??_-;_-@_-</c:formatCode>
                <c:ptCount val="12"/>
                <c:pt idx="0">
                  <c:v>6.8912494707830856</c:v>
                </c:pt>
                <c:pt idx="1">
                  <c:v>7.1286599209885155</c:v>
                </c:pt>
                <c:pt idx="2">
                  <c:v>7.3548615594311073</c:v>
                </c:pt>
                <c:pt idx="3">
                  <c:v>7.6891435461990412</c:v>
                </c:pt>
                <c:pt idx="4">
                  <c:v>7.926412965601763</c:v>
                </c:pt>
                <c:pt idx="5">
                  <c:v>8.1116366278259751</c:v>
                </c:pt>
                <c:pt idx="6">
                  <c:v>8.1314853498691164</c:v>
                </c:pt>
                <c:pt idx="7">
                  <c:v>8.2609442384434413</c:v>
                </c:pt>
                <c:pt idx="8">
                  <c:v>8.3694281774750117</c:v>
                </c:pt>
                <c:pt idx="9">
                  <c:v>8.4769758331331406</c:v>
                </c:pt>
                <c:pt idx="10">
                  <c:v>8.5205187493395549</c:v>
                </c:pt>
                <c:pt idx="11">
                  <c:v>8.7716359193013993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95-4C74-9986-5F6E00229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Adjusted!$AF$22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DE-4FB2-BDBE-87D1B9BBA90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DE-4FB2-BDBE-87D1B9BBA90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DE-4FB2-BDBE-87D1B9BBA90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Adjusted!$AF$40:$AK$40</c:f>
              <c:strCache>
                <c:ptCount val="6"/>
                <c:pt idx="0">
                  <c:v>Flare</c:v>
                </c:pt>
                <c:pt idx="1">
                  <c:v>Gas export compressor</c:v>
                </c:pt>
                <c:pt idx="2">
                  <c:v>Base production load</c:v>
                </c:pt>
                <c:pt idx="3">
                  <c:v>Gas injection compressor</c:v>
                </c:pt>
                <c:pt idx="4">
                  <c:v>produced water reinjection pump</c:v>
                </c:pt>
                <c:pt idx="5">
                  <c:v>Seawater injection pump</c:v>
                </c:pt>
              </c:strCache>
            </c:strRef>
          </c:cat>
          <c:val>
            <c:numRef>
              <c:f>Adjusted!$AF$41:$AK$41</c:f>
              <c:numCache>
                <c:formatCode>0.0</c:formatCode>
                <c:ptCount val="6"/>
                <c:pt idx="0">
                  <c:v>7016.666666666667</c:v>
                </c:pt>
                <c:pt idx="1">
                  <c:v>41666.666666666664</c:v>
                </c:pt>
                <c:pt idx="2" formatCode="General">
                  <c:v>73901.754962583902</c:v>
                </c:pt>
                <c:pt idx="3" formatCode="General">
                  <c:v>37530.192085871524</c:v>
                </c:pt>
                <c:pt idx="4" formatCode="General">
                  <c:v>30787.150726384309</c:v>
                </c:pt>
                <c:pt idx="5" formatCode="General">
                  <c:v>57042.811320180452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E-4FB2-BDBE-87D1B9BBA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'2pcLoss'!$AF$22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64-4E15-9042-CB43CDCD0B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64-4E15-9042-CB43CDCD0B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264-4E15-9042-CB43CDCD0B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'2pcLoss'!$AF$23:$AH$23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'2pcLoss'!$AF$38:$AH$38</c:f>
              <c:numCache>
                <c:formatCode>0.0</c:formatCode>
                <c:ptCount val="3"/>
                <c:pt idx="0">
                  <c:v>70166.666666666672</c:v>
                </c:pt>
                <c:pt idx="1">
                  <c:v>41666.666666666664</c:v>
                </c:pt>
                <c:pt idx="2">
                  <c:v>199250.61654284989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64-4E15-9042-CB43CDCD0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'2pcLoss'!$Z$22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D3-4A43-A2B6-51231F3E5B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D3-4A43-A2B6-51231F3E5B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D3-4A43-A2B6-51231F3E5B6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D3-4A43-A2B6-51231F3E5B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'2pcLoss'!$Z$23:$AC$23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'2pcLoss'!$Z$38:$AC$38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4.9140074633192876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3-4A43-A2B6-51231F3E5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'2pcLoss'!$AQ$25:$AQ$36</c:f>
              <c:numCache>
                <c:formatCode>_-* #,##0.0_-;\-* #,##0.0_-;_-* "-"??_-;_-@_-</c:formatCode>
                <c:ptCount val="12"/>
                <c:pt idx="0">
                  <c:v>8.6451689916560603</c:v>
                </c:pt>
                <c:pt idx="1">
                  <c:v>9.3293338512993227</c:v>
                </c:pt>
                <c:pt idx="2">
                  <c:v>10.031214981826292</c:v>
                </c:pt>
                <c:pt idx="3">
                  <c:v>11.306145406154956</c:v>
                </c:pt>
                <c:pt idx="4">
                  <c:v>11.463666878095363</c:v>
                </c:pt>
                <c:pt idx="5">
                  <c:v>11.627648110758773</c:v>
                </c:pt>
                <c:pt idx="6">
                  <c:v>10.561429212201931</c:v>
                </c:pt>
                <c:pt idx="7">
                  <c:v>11.878052381232996</c:v>
                </c:pt>
                <c:pt idx="8">
                  <c:v>11.661422393543701</c:v>
                </c:pt>
                <c:pt idx="9">
                  <c:v>11.936488524996856</c:v>
                </c:pt>
                <c:pt idx="10">
                  <c:v>10.647818763232841</c:v>
                </c:pt>
                <c:pt idx="11">
                  <c:v>15.442928801412762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6-48FA-B6E8-6CAFF02FFC48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'2pcLoss'!$AS$25:$AS$36</c:f>
              <c:numCache>
                <c:formatCode>_-* #,##0.0_-;\-* #,##0.0_-;_-* "-"??_-;_-@_-</c:formatCode>
                <c:ptCount val="12"/>
                <c:pt idx="0">
                  <c:v>8.6451689916560603</c:v>
                </c:pt>
                <c:pt idx="1">
                  <c:v>8.9744765589532332</c:v>
                </c:pt>
                <c:pt idx="2">
                  <c:v>9.2993932579400642</c:v>
                </c:pt>
                <c:pt idx="3">
                  <c:v>9.7403387972339193</c:v>
                </c:pt>
                <c:pt idx="4">
                  <c:v>10.053383714674805</c:v>
                </c:pt>
                <c:pt idx="5">
                  <c:v>10.297455714067668</c:v>
                </c:pt>
                <c:pt idx="6">
                  <c:v>10.336213727682621</c:v>
                </c:pt>
                <c:pt idx="7">
                  <c:v>10.52424283177413</c:v>
                </c:pt>
                <c:pt idx="8">
                  <c:v>10.637247076929054</c:v>
                </c:pt>
                <c:pt idx="9">
                  <c:v>10.731760276352029</c:v>
                </c:pt>
                <c:pt idx="10">
                  <c:v>10.72571588296811</c:v>
                </c:pt>
                <c:pt idx="11">
                  <c:v>11.00531360040344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26-48FA-B6E8-6CAFF02F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824191747845201"/>
          <c:y val="0.60427500646582222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'1pcLoss'!$AF$22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317-4F35-870C-EB29BCCD2C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317-4F35-870C-EB29BCCD2C3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317-4F35-870C-EB29BCCD2C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'1pcLoss'!$AF$23:$AH$23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'1pcLoss'!$AF$38:$AH$38</c:f>
              <c:numCache>
                <c:formatCode>0.0</c:formatCode>
                <c:ptCount val="3"/>
                <c:pt idx="0">
                  <c:v>35083.333333333336</c:v>
                </c:pt>
                <c:pt idx="1">
                  <c:v>41666.666666666664</c:v>
                </c:pt>
                <c:pt idx="2">
                  <c:v>199249.97669399774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17-4F35-870C-EB29BCCD2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'1pcLoss'!$Z$22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27-4072-B2EE-D7BC206AF6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27-4072-B2EE-D7BC206AF6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27-4072-B2EE-D7BC206AF65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F27-4072-B2EE-D7BC206AF6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'1pcLoss'!$Z$23:$AC$23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'1pcLoss'!$Z$38:$AC$38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4.9139042618915232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27-4072-B2EE-D7BC206AF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'1pcLoss'!$AQ$25:$AQ$36</c:f>
              <c:numCache>
                <c:formatCode>_-* #,##0.0_-;\-* #,##0.0_-;_-* "-"??_-;_-@_-</c:formatCode>
                <c:ptCount val="12"/>
                <c:pt idx="0">
                  <c:v>7.6702116231636754</c:v>
                </c:pt>
                <c:pt idx="1">
                  <c:v>8.2487985081772592</c:v>
                </c:pt>
                <c:pt idx="2">
                  <c:v>8.8272481723091953</c:v>
                </c:pt>
                <c:pt idx="3">
                  <c:v>9.9560889385588656</c:v>
                </c:pt>
                <c:pt idx="4">
                  <c:v>10.09204081827429</c:v>
                </c:pt>
                <c:pt idx="5">
                  <c:v>10.234952413305935</c:v>
                </c:pt>
                <c:pt idx="6">
                  <c:v>9.2753815837657871</c:v>
                </c:pt>
                <c:pt idx="7">
                  <c:v>10.385846158273321</c:v>
                </c:pt>
                <c:pt idx="8">
                  <c:v>10.378681522059168</c:v>
                </c:pt>
                <c:pt idx="9">
                  <c:v>10.775904330618832</c:v>
                </c:pt>
                <c:pt idx="10">
                  <c:v>9.7773393043473451</c:v>
                </c:pt>
                <c:pt idx="11">
                  <c:v>13.950760262335807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9-42AD-87FA-BC382E7F1C9B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'1pcLoss'!$AS$25:$AS$36</c:f>
              <c:numCache>
                <c:formatCode>_-* #,##0.0_-;\-* #,##0.0_-;_-* "-"??_-;_-@_-</c:formatCode>
                <c:ptCount val="12"/>
                <c:pt idx="0">
                  <c:v>7.6702116231636754</c:v>
                </c:pt>
                <c:pt idx="1">
                  <c:v>7.9487015761162718</c:v>
                </c:pt>
                <c:pt idx="2">
                  <c:v>8.2188294088537504</c:v>
                </c:pt>
                <c:pt idx="3">
                  <c:v>8.6005590813001653</c:v>
                </c:pt>
                <c:pt idx="4">
                  <c:v>8.8714887913193188</c:v>
                </c:pt>
                <c:pt idx="5">
                  <c:v>9.0828785001544539</c:v>
                </c:pt>
                <c:pt idx="6">
                  <c:v>9.1111428417958003</c:v>
                </c:pt>
                <c:pt idx="7">
                  <c:v>9.2665944657564729</c:v>
                </c:pt>
                <c:pt idx="8">
                  <c:v>9.3771052087991045</c:v>
                </c:pt>
                <c:pt idx="9">
                  <c:v>9.4788607220255621</c:v>
                </c:pt>
                <c:pt idx="10">
                  <c:v>9.5003533292134499</c:v>
                </c:pt>
                <c:pt idx="11">
                  <c:v>9.7641369746991096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39-42AD-87FA-BC382E7F1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824191747845201"/>
          <c:y val="0.60427500646582222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'0.5pcLoss'!$AF$22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D3-456C-9EBC-416F86187E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D3-456C-9EBC-416F86187E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D3-456C-9EBC-416F86187E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'0.5pcLoss'!$AF$23:$AH$23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'0.5pcLoss'!$AF$38:$AH$38</c:f>
              <c:numCache>
                <c:formatCode>0.0</c:formatCode>
                <c:ptCount val="3"/>
                <c:pt idx="0">
                  <c:v>17541.666666666668</c:v>
                </c:pt>
                <c:pt idx="1">
                  <c:v>41666.666666666664</c:v>
                </c:pt>
                <c:pt idx="2">
                  <c:v>199249.93303616703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D3-456C-9EBC-416F86187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'0.5pcLoss'!$Z$22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94-4B8E-8E84-70041FF409D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94-4B8E-8E84-70041FF409D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F94-4B8E-8E84-70041FF409D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F94-4B8E-8E84-70041FF409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'0.5pcLoss'!$Z$23:$AC$23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'0.5pcLoss'!$Z$38:$AC$38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4.9138972203059312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94-4B8E-8E84-70041FF40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'0.5pcLoss'!$AM$25:$AM$36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'0.5pcLoss'!$AQ$25:$AQ$36</c:f>
              <c:numCache>
                <c:formatCode>_-* #,##0.0_-;\-* #,##0.0_-;_-* "-"??_-;_-@_-</c:formatCode>
                <c:ptCount val="12"/>
                <c:pt idx="0">
                  <c:v>7.1827652486645892</c:v>
                </c:pt>
                <c:pt idx="1">
                  <c:v>7.7085319166681119</c:v>
                </c:pt>
                <c:pt idx="2">
                  <c:v>8.22526855681215</c:v>
                </c:pt>
                <c:pt idx="3">
                  <c:v>9.2810619831895806</c:v>
                </c:pt>
                <c:pt idx="4">
                  <c:v>9.4062458792969306</c:v>
                </c:pt>
                <c:pt idx="5">
                  <c:v>9.5386086723645747</c:v>
                </c:pt>
                <c:pt idx="6">
                  <c:v>8.6323614702549687</c:v>
                </c:pt>
                <c:pt idx="7">
                  <c:v>9.6397600270937414</c:v>
                </c:pt>
                <c:pt idx="8">
                  <c:v>9.7373124051170965</c:v>
                </c:pt>
                <c:pt idx="9">
                  <c:v>10.19561771047656</c:v>
                </c:pt>
                <c:pt idx="10">
                  <c:v>9.342121962434403</c:v>
                </c:pt>
                <c:pt idx="11">
                  <c:v>13.204677782597596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C2-41CF-9C31-613AF0847453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'0.5pcLoss'!$AM$25:$AM$36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'0.5pcLoss'!$AS$25:$AS$36</c:f>
              <c:numCache>
                <c:formatCode>_-* #,##0.0_-;\-* #,##0.0_-;_-* "-"??_-;_-@_-</c:formatCode>
                <c:ptCount val="12"/>
                <c:pt idx="0">
                  <c:v>7.1827652486645901</c:v>
                </c:pt>
                <c:pt idx="1">
                  <c:v>7.4358313627243771</c:v>
                </c:pt>
                <c:pt idx="2">
                  <c:v>7.6785606149295269</c:v>
                </c:pt>
                <c:pt idx="3">
                  <c:v>8.0306797496593134</c:v>
                </c:pt>
                <c:pt idx="4">
                  <c:v>8.2805532300888984</c:v>
                </c:pt>
                <c:pt idx="5">
                  <c:v>8.4756005854804783</c:v>
                </c:pt>
                <c:pt idx="6">
                  <c:v>8.4986170645941908</c:v>
                </c:pt>
                <c:pt idx="7">
                  <c:v>8.6377808405087695</c:v>
                </c:pt>
                <c:pt idx="8">
                  <c:v>8.7470439143976719</c:v>
                </c:pt>
                <c:pt idx="9">
                  <c:v>8.8524202817166984</c:v>
                </c:pt>
                <c:pt idx="10">
                  <c:v>8.887682328933094</c:v>
                </c:pt>
                <c:pt idx="11">
                  <c:v>9.143558435416173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C2-41CF-9C31-613AF0847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824191747845201"/>
          <c:y val="0.60427500646582222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'Base-20pc'!$AF$22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BE-45D7-9FE6-75281260F9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BE-45D7-9FE6-75281260F9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2BE-45D7-9FE6-75281260F9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'Base-20pc'!$AF$23:$AH$23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'Base-20pc'!$AF$38:$AH$38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184629.90909502012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E-45D7-9FE6-75281260F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'Base-20pc'!$Z$22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D0-49D5-8C03-0A301DAF43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D0-49D5-8C03-0A301DAF43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D0-49D5-8C03-0A301DAF43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D0-49D5-8C03-0A301DAF43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'Base-20pc'!$Z$23:$AC$23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'Base-20pc'!$Z$38:$AC$38</c:f>
              <c:numCache>
                <c:formatCode>0.00</c:formatCode>
                <c:ptCount val="4"/>
                <c:pt idx="0">
                  <c:v>9.44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D0-49D5-8C03-0A301DAF4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'Base-20pc'!$AM$25:$AM$36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'Base-20pc'!$AQ$25:$AQ$36</c:f>
              <c:numCache>
                <c:formatCode>_-* #,##0.0_-;\-* #,##0.0_-;_-* "-"??_-;_-@_-</c:formatCode>
                <c:ptCount val="12"/>
                <c:pt idx="0">
                  <c:v>6.4836936043283959</c:v>
                </c:pt>
                <c:pt idx="1">
                  <c:v>6.9453135672716408</c:v>
                </c:pt>
                <c:pt idx="2">
                  <c:v>7.3882270880089402</c:v>
                </c:pt>
                <c:pt idx="3">
                  <c:v>8.3563440368970525</c:v>
                </c:pt>
                <c:pt idx="4">
                  <c:v>8.480732942841934</c:v>
                </c:pt>
                <c:pt idx="5">
                  <c:v>8.6116607538795691</c:v>
                </c:pt>
                <c:pt idx="6">
                  <c:v>7.7878632094275906</c:v>
                </c:pt>
                <c:pt idx="7">
                  <c:v>8.7078626808753832</c:v>
                </c:pt>
                <c:pt idx="8">
                  <c:v>8.8163775269418121</c:v>
                </c:pt>
                <c:pt idx="9">
                  <c:v>9.1685901731642812</c:v>
                </c:pt>
                <c:pt idx="10">
                  <c:v>8.4448720406142712</c:v>
                </c:pt>
                <c:pt idx="11">
                  <c:v>12.029445812455329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84-44C9-A4AA-167CFD8DE6CE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'Base-20pc'!$AM$25:$AM$36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'Base-20pc'!$AS$25:$AS$36</c:f>
              <c:numCache>
                <c:formatCode>_-* #,##0.0_-;\-* #,##0.0_-;_-* "-"??_-;_-@_-</c:formatCode>
                <c:ptCount val="12"/>
                <c:pt idx="0">
                  <c:v>6.4836936043283968</c:v>
                </c:pt>
                <c:pt idx="1">
                  <c:v>6.7058841259110373</c:v>
                </c:pt>
                <c:pt idx="2">
                  <c:v>6.915684979199761</c:v>
                </c:pt>
                <c:pt idx="3">
                  <c:v>7.2322423506220357</c:v>
                </c:pt>
                <c:pt idx="4">
                  <c:v>7.4590323848051003</c:v>
                </c:pt>
                <c:pt idx="5">
                  <c:v>7.6377344575298229</c:v>
                </c:pt>
                <c:pt idx="6">
                  <c:v>7.6597771711021156</c:v>
                </c:pt>
                <c:pt idx="7">
                  <c:v>7.7875924771720255</c:v>
                </c:pt>
                <c:pt idx="8">
                  <c:v>7.8898253011554242</c:v>
                </c:pt>
                <c:pt idx="9">
                  <c:v>7.9828489339397732</c:v>
                </c:pt>
                <c:pt idx="10">
                  <c:v>8.0161179245193956</c:v>
                </c:pt>
                <c:pt idx="11">
                  <c:v>8.2539951067001862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84-44C9-A4AA-167CFD8DE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'Base-10pc'!$AF$22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89-4C2F-844D-4463502CC8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89-4C2F-844D-4463502CC8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89-4C2F-844D-4463502CC8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'Base-10pc'!$AF$23:$AH$23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'Base-10pc'!$AF$38:$AH$38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191945.90909502012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89-4C2F-844D-4463502C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'Base-10pc'!$Z$22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F4-4C05-B5DC-849D24D4D51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F4-4C05-B5DC-849D24D4D51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2F4-4C05-B5DC-849D24D4D51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2F4-4C05-B5DC-849D24D4D5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'Base-10pc'!$Z$23:$AC$23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'Base-10pc'!$Z$38:$AC$38</c:f>
              <c:numCache>
                <c:formatCode>0.00</c:formatCode>
                <c:ptCount val="4"/>
                <c:pt idx="0">
                  <c:v>10.620000000000003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F4-4C05-B5DC-849D24D4D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'Base-10pc'!$AM$25:$AM$36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'Base-10pc'!$AQ$25:$AQ$36</c:f>
              <c:numCache>
                <c:formatCode>_-* #,##0.0_-;\-* #,##0.0_-;_-* "-"??_-;_-@_-</c:formatCode>
                <c:ptCount val="12"/>
                <c:pt idx="0">
                  <c:v>6.6874715375557416</c:v>
                </c:pt>
                <c:pt idx="1">
                  <c:v>7.1649018573873144</c:v>
                </c:pt>
                <c:pt idx="2">
                  <c:v>7.626285421218455</c:v>
                </c:pt>
                <c:pt idx="3">
                  <c:v>8.6162648700951951</c:v>
                </c:pt>
                <c:pt idx="4">
                  <c:v>8.7380283130784822</c:v>
                </c:pt>
                <c:pt idx="5">
                  <c:v>8.8663831704137515</c:v>
                </c:pt>
                <c:pt idx="6">
                  <c:v>8.0173428639628899</c:v>
                </c:pt>
                <c:pt idx="7">
                  <c:v>8.9504554585269869</c:v>
                </c:pt>
                <c:pt idx="8">
                  <c:v>9.0845063864514781</c:v>
                </c:pt>
                <c:pt idx="9">
                  <c:v>9.5082200618765214</c:v>
                </c:pt>
                <c:pt idx="10">
                  <c:v>8.7632750612819983</c:v>
                </c:pt>
                <c:pt idx="11">
                  <c:v>12.393334978932732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2-4C74-9434-D4948A447D52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'Base-10pc'!$AM$25:$AM$36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'Base-10pc'!$AS$25:$AS$36</c:f>
              <c:numCache>
                <c:formatCode>_-* #,##0.0_-;\-* #,##0.0_-;_-* "-"??_-;_-@_-</c:formatCode>
                <c:ptCount val="12"/>
                <c:pt idx="0">
                  <c:v>6.6874715375557408</c:v>
                </c:pt>
                <c:pt idx="1">
                  <c:v>6.917272023449776</c:v>
                </c:pt>
                <c:pt idx="2">
                  <c:v>7.1352732693154328</c:v>
                </c:pt>
                <c:pt idx="3">
                  <c:v>7.4606929484105375</c:v>
                </c:pt>
                <c:pt idx="4">
                  <c:v>7.6927226752034308</c:v>
                </c:pt>
                <c:pt idx="5">
                  <c:v>7.8746855426778968</c:v>
                </c:pt>
                <c:pt idx="6">
                  <c:v>7.8956312604856143</c:v>
                </c:pt>
                <c:pt idx="7">
                  <c:v>8.0242683578077312</c:v>
                </c:pt>
                <c:pt idx="8">
                  <c:v>8.1296267393152171</c:v>
                </c:pt>
                <c:pt idx="9">
                  <c:v>8.2299123835364565</c:v>
                </c:pt>
                <c:pt idx="10">
                  <c:v>8.2683183369294753</c:v>
                </c:pt>
                <c:pt idx="11">
                  <c:v>8.5128155130007936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22-4C74-9434-D4948A447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'Base+10pc'!$AF$22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5E-407B-A401-0AA1508135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5E-407B-A401-0AA1508135B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65E-407B-A401-0AA1508135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'Base+10pc'!$AF$23:$AH$23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'Base+10pc'!$AF$38:$AH$38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206577.90909502012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5E-407B-A401-0AA150813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'Base+10pc'!$Z$22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0B-48D9-9282-620E412C0F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0B-48D9-9282-620E412C0F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30B-48D9-9282-620E412C0F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30B-48D9-9282-620E412C0F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'Base+10pc'!$Z$23:$AC$23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'Base+10pc'!$Z$38:$AC$38</c:f>
              <c:numCache>
                <c:formatCode>0.00</c:formatCode>
                <c:ptCount val="4"/>
                <c:pt idx="0">
                  <c:v>12.979999999999999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30B-48D9-9282-620E412C0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'Base+10pc'!$AM$25:$AM$36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'Base+10pc'!$AQ$25:$AQ$36</c:f>
              <c:numCache>
                <c:formatCode>_-* #,##0.0_-;\-* #,##0.0_-;_-* "-"??_-;_-@_-</c:formatCode>
                <c:ptCount val="12"/>
                <c:pt idx="0">
                  <c:v>7.0950274040104304</c:v>
                </c:pt>
                <c:pt idx="1">
                  <c:v>7.6040784376186625</c:v>
                </c:pt>
                <c:pt idx="2">
                  <c:v>8.102402087637488</c:v>
                </c:pt>
                <c:pt idx="3">
                  <c:v>9.136106536491484</c:v>
                </c:pt>
                <c:pt idx="4">
                  <c:v>9.2526190535515749</c:v>
                </c:pt>
                <c:pt idx="5">
                  <c:v>9.3758280034821144</c:v>
                </c:pt>
                <c:pt idx="6">
                  <c:v>8.4763021730334867</c:v>
                </c:pt>
                <c:pt idx="7">
                  <c:v>9.4356410138301889</c:v>
                </c:pt>
                <c:pt idx="8">
                  <c:v>9.6207641054708066</c:v>
                </c:pt>
                <c:pt idx="9">
                  <c:v>10.187479839301005</c:v>
                </c:pt>
                <c:pt idx="10">
                  <c:v>9.4000811026174524</c:v>
                </c:pt>
                <c:pt idx="11">
                  <c:v>13.121113311887534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E7-4DE0-82EB-C0D91DB066A2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'Base+10pc'!$AM$25:$AM$36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'Base+10pc'!$AS$25:$AS$36</c:f>
              <c:numCache>
                <c:formatCode>_-* #,##0.0_-;\-* #,##0.0_-;_-* "-"??_-;_-@_-</c:formatCode>
                <c:ptCount val="12"/>
                <c:pt idx="0">
                  <c:v>7.0950274040104313</c:v>
                </c:pt>
                <c:pt idx="1">
                  <c:v>7.3400478185272569</c:v>
                </c:pt>
                <c:pt idx="2">
                  <c:v>7.5744498495467827</c:v>
                </c:pt>
                <c:pt idx="3">
                  <c:v>7.9175941439875475</c:v>
                </c:pt>
                <c:pt idx="4">
                  <c:v>8.1601032560000952</c:v>
                </c:pt>
                <c:pt idx="5">
                  <c:v>8.3485877129740498</c:v>
                </c:pt>
                <c:pt idx="6">
                  <c:v>8.3673394392526195</c:v>
                </c:pt>
                <c:pt idx="7">
                  <c:v>8.4976201190791532</c:v>
                </c:pt>
                <c:pt idx="8">
                  <c:v>8.609229615634808</c:v>
                </c:pt>
                <c:pt idx="9">
                  <c:v>8.7240392827298265</c:v>
                </c:pt>
                <c:pt idx="10">
                  <c:v>8.7727191617496381</c:v>
                </c:pt>
                <c:pt idx="11">
                  <c:v>9.0304563256020103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E7-4DE0-82EB-C0D91DB06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'Base+20pc'!$AF$22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6D-433C-8ACF-126ABAF8BD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A6D-433C-8ACF-126ABAF8BD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A6D-433C-8ACF-126ABAF8BD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'Base+20pc'!$AF$23:$AH$23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'Base+20pc'!$AF$38:$AH$38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213893.90909502006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6D-433C-8ACF-126ABAF8B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'Base+20pc'!$Z$22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7E-467F-85A4-8CF5947EA3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47E-467F-85A4-8CF5947EA3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47E-467F-85A4-8CF5947EA3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47E-467F-85A4-8CF5947EA3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'Base+20pc'!$Z$23:$AC$23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'Base+20pc'!$Z$38:$AC$38</c:f>
              <c:numCache>
                <c:formatCode>0.00</c:formatCode>
                <c:ptCount val="4"/>
                <c:pt idx="0">
                  <c:v>14.159999999999998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7E-467F-85A4-8CF5947EA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'Base+20pc'!$AM$25:$AM$36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'Base+20pc'!$AQ$25:$AQ$36</c:f>
              <c:numCache>
                <c:formatCode>_-* #,##0.0_-;\-* #,##0.0_-;_-* "-"??_-;_-@_-</c:formatCode>
                <c:ptCount val="12"/>
                <c:pt idx="0">
                  <c:v>7.2988053372377752</c:v>
                </c:pt>
                <c:pt idx="1">
                  <c:v>7.8236667277343344</c:v>
                </c:pt>
                <c:pt idx="2">
                  <c:v>8.3404604208470019</c:v>
                </c:pt>
                <c:pt idx="3">
                  <c:v>9.3960273696896266</c:v>
                </c:pt>
                <c:pt idx="4">
                  <c:v>9.5099144237881212</c:v>
                </c:pt>
                <c:pt idx="5">
                  <c:v>9.6305504200162932</c:v>
                </c:pt>
                <c:pt idx="6">
                  <c:v>8.7057818275687815</c:v>
                </c:pt>
                <c:pt idx="7">
                  <c:v>9.6782337914817891</c:v>
                </c:pt>
                <c:pt idx="8">
                  <c:v>9.8888929649804727</c:v>
                </c:pt>
                <c:pt idx="9">
                  <c:v>10.527109728013246</c:v>
                </c:pt>
                <c:pt idx="10">
                  <c:v>9.718484123285176</c:v>
                </c:pt>
                <c:pt idx="11">
                  <c:v>13.485002478364933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9-40EC-931F-0CF7AD57C19B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'Base+20pc'!$AM$25:$AM$36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'Base+20pc'!$AS$25:$AS$36</c:f>
              <c:numCache>
                <c:formatCode>_-* #,##0.0_-;\-* #,##0.0_-;_-* "-"??_-;_-@_-</c:formatCode>
                <c:ptCount val="12"/>
                <c:pt idx="0">
                  <c:v>7.298805337237777</c:v>
                </c:pt>
                <c:pt idx="1">
                  <c:v>7.5514357160659964</c:v>
                </c:pt>
                <c:pt idx="2">
                  <c:v>7.7940381396624554</c:v>
                </c:pt>
                <c:pt idx="3">
                  <c:v>8.1460447417760484</c:v>
                </c:pt>
                <c:pt idx="4">
                  <c:v>8.3937935463984239</c:v>
                </c:pt>
                <c:pt idx="5">
                  <c:v>8.5855387981221263</c:v>
                </c:pt>
                <c:pt idx="6">
                  <c:v>8.603193528636119</c:v>
                </c:pt>
                <c:pt idx="7">
                  <c:v>8.7342959997148579</c:v>
                </c:pt>
                <c:pt idx="8">
                  <c:v>8.8490310537946009</c:v>
                </c:pt>
                <c:pt idx="9">
                  <c:v>8.9711027323265089</c:v>
                </c:pt>
                <c:pt idx="10">
                  <c:v>9.0249195741597159</c:v>
                </c:pt>
                <c:pt idx="11">
                  <c:v>9.2892767319026177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29-40EC-931F-0CF7AD57C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WindFarm!$AF$22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56-403A-872F-CB015E6A5F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56-403A-872F-CB015E6A5F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56-403A-872F-CB015E6A5F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WindFarm!$AF$23:$AH$23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WindFarm!$AF$38:$AH$38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109763.82844912943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56-403A-872F-CB015E6A5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WindFarm!$Z$22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86-4FDB-8252-0550C5EEA5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86-4FDB-8252-0550C5EEA5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86-4FDB-8252-0550C5EEA5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86-4FDB-8252-0550C5EEA5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WindFarm!$Z$23:$AC$23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WindFarm!$Z$38:$AC$38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86-4FDB-8252-0550C5EEA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WindFarm!$AM$25:$AM$36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WindFarm!$AQ$25:$AQ$36</c:f>
              <c:numCache>
                <c:formatCode>_-* #,##0.0_-;\-* #,##0.0_-;_-* "-"??_-;_-@_-</c:formatCode>
                <c:ptCount val="12"/>
                <c:pt idx="0">
                  <c:v>4.4421455401110466</c:v>
                </c:pt>
                <c:pt idx="1">
                  <c:v>4.7537842115782274</c:v>
                </c:pt>
                <c:pt idx="2">
                  <c:v>5.0385824513688346</c:v>
                </c:pt>
                <c:pt idx="3">
                  <c:v>5.7407946077932852</c:v>
                </c:pt>
                <c:pt idx="4">
                  <c:v>5.8558066057956912</c:v>
                </c:pt>
                <c:pt idx="5">
                  <c:v>5.9759435387379547</c:v>
                </c:pt>
                <c:pt idx="6">
                  <c:v>5.409202775557044</c:v>
                </c:pt>
                <c:pt idx="7">
                  <c:v>6.113714844638956</c:v>
                </c:pt>
                <c:pt idx="8">
                  <c:v>6.0795297667742227</c:v>
                </c:pt>
                <c:pt idx="9">
                  <c:v>5.6282573097322155</c:v>
                </c:pt>
                <c:pt idx="10">
                  <c:v>5.144822200904283</c:v>
                </c:pt>
                <c:pt idx="11">
                  <c:v>8.2949087261774626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25-4AFB-A8AB-24BFADDCD9E7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WindFarm!$AM$25:$AM$36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WindFarm!$AS$25:$AS$36</c:f>
              <c:numCache>
                <c:formatCode>_-* #,##0.0_-;\-* #,##0.0_-;_-* "-"??_-;_-@_-</c:formatCode>
                <c:ptCount val="12"/>
                <c:pt idx="0">
                  <c:v>4.4421455401110466</c:v>
                </c:pt>
                <c:pt idx="1">
                  <c:v>4.5921458965018891</c:v>
                </c:pt>
                <c:pt idx="2">
                  <c:v>4.7294123084868405</c:v>
                </c:pt>
                <c:pt idx="3">
                  <c:v>4.9516442935362379</c:v>
                </c:pt>
                <c:pt idx="4">
                  <c:v>5.1158866218182304</c:v>
                </c:pt>
                <c:pt idx="5">
                  <c:v>5.2492287794802035</c:v>
                </c:pt>
                <c:pt idx="6">
                  <c:v>5.2727170249359281</c:v>
                </c:pt>
                <c:pt idx="7">
                  <c:v>5.3752777346558105</c:v>
                </c:pt>
                <c:pt idx="8">
                  <c:v>5.4452609386843136</c:v>
                </c:pt>
                <c:pt idx="9">
                  <c:v>5.4585729928342577</c:v>
                </c:pt>
                <c:pt idx="10">
                  <c:v>5.4359806765836751</c:v>
                </c:pt>
                <c:pt idx="11">
                  <c:v>5.6054344983208182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25-4AFB-A8AB-24BFADDCD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NoGasExport!$AF$22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4C-4C54-962B-F292D2C7CE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4C-4C54-962B-F292D2C7CE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84C-4C54-962B-F292D2C7CE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NoGasExport!$AF$23:$AH$23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NoGasExport!$AF$38:$AH$38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0</c:v>
                </c:pt>
                <c:pt idx="2">
                  <c:v>219146.10436752465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4C-4C54-962B-F292D2C7C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NoGasExport!$Z$22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DF-4DC4-B70C-05C0F3D8F02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DF-4DC4-B70C-05C0F3D8F02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DF-4DC4-B70C-05C0F3D8F02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DF-4DC4-B70C-05C0F3D8F0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NoGasExport!$Z$23:$AC$23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NoGasExport!$Z$38:$AC$38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9.1657183300520693</c:v>
                </c:pt>
                <c:pt idx="2">
                  <c:v>4.9139042618915232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DF-4DC4-B70C-05C0F3D8F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NoGasExport!$AM$25:$AM$36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NoGasExport!$AQ$25:$AQ$36</c:f>
              <c:numCache>
                <c:formatCode>_-* #,##0.0_-;\-* #,##0.0_-;_-* "-"??_-;_-@_-</c:formatCode>
                <c:ptCount val="12"/>
                <c:pt idx="0">
                  <c:v>6.0993972834790089</c:v>
                </c:pt>
                <c:pt idx="1">
                  <c:v>6.6029269383982214</c:v>
                </c:pt>
                <c:pt idx="2">
                  <c:v>7.0958361877098453</c:v>
                </c:pt>
                <c:pt idx="3">
                  <c:v>8.0392207901423998</c:v>
                </c:pt>
                <c:pt idx="4">
                  <c:v>8.2352259267618528</c:v>
                </c:pt>
                <c:pt idx="5">
                  <c:v>8.3765047939606312</c:v>
                </c:pt>
                <c:pt idx="6">
                  <c:v>7.6484438308678682</c:v>
                </c:pt>
                <c:pt idx="7">
                  <c:v>8.9335688164156686</c:v>
                </c:pt>
                <c:pt idx="8">
                  <c:v>8.1799632783925667</c:v>
                </c:pt>
                <c:pt idx="9">
                  <c:v>9.7178388221270211</c:v>
                </c:pt>
                <c:pt idx="10">
                  <c:v>8.5137833378109011</c:v>
                </c:pt>
                <c:pt idx="11">
                  <c:v>10.668256918429428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1-4CF6-A379-AA2E19B4EB47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NoGasExport!$AM$25:$AM$36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NoGasExport!$AS$25:$AS$36</c:f>
              <c:numCache>
                <c:formatCode>_-* #,##0.0_-;\-* #,##0.0_-;_-* "-"??_-;_-@_-</c:formatCode>
                <c:ptCount val="12"/>
                <c:pt idx="0">
                  <c:v>6.0993972834790089</c:v>
                </c:pt>
                <c:pt idx="1">
                  <c:v>6.3417601049338996</c:v>
                </c:pt>
                <c:pt idx="2">
                  <c:v>6.57361683153455</c:v>
                </c:pt>
                <c:pt idx="3">
                  <c:v>6.8956553695246141</c:v>
                </c:pt>
                <c:pt idx="4">
                  <c:v>7.1389902046924814</c:v>
                </c:pt>
                <c:pt idx="5">
                  <c:v>7.3308529317107984</c:v>
                </c:pt>
                <c:pt idx="6">
                  <c:v>7.3774833415076699</c:v>
                </c:pt>
                <c:pt idx="7">
                  <c:v>7.5672498628379135</c:v>
                </c:pt>
                <c:pt idx="8">
                  <c:v>7.62813665622462</c:v>
                </c:pt>
                <c:pt idx="9">
                  <c:v>7.7801518477306146</c:v>
                </c:pt>
                <c:pt idx="10">
                  <c:v>7.8329785976913922</c:v>
                </c:pt>
                <c:pt idx="11">
                  <c:v>8.0010306573456358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1-4CF6-A379-AA2E19B4E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MaxExport!$AF$22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E13-4F4F-B104-A4B5563174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13-4F4F-B104-A4B5563174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13-4F4F-B104-A4B5563174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MaxExport!$AF$23:$AH$23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MaxExport!$AF$38:$AH$38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99232.83443383775</c:v>
                </c:pt>
                <c:pt idx="2">
                  <c:v>187516.47669399774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13-4F4F-B104-A4B556317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MaxExport!$Z$22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C74-4255-94F2-1405812F79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C74-4255-94F2-1405812F79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C74-4255-94F2-1405812F79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C74-4255-94F2-1405812F79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MaxExport!$Z$23:$AC$23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MaxExport!$Z$38:$AC$38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4.1000000000000005</c:v>
                </c:pt>
                <c:pt idx="2">
                  <c:v>4.9139042618915232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74-4255-94F2-1405812F7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MaxExport!$AM$25:$AM$36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MaxExport!$AQ$25:$AQ$36</c:f>
              <c:numCache>
                <c:formatCode>_-* #,##0.0_-;\-* #,##0.0_-;_-* "-"??_-;_-@_-</c:formatCode>
                <c:ptCount val="12"/>
                <c:pt idx="0">
                  <c:v>7.7197455228830956</c:v>
                </c:pt>
                <c:pt idx="1">
                  <c:v>8.6793101376449702</c:v>
                </c:pt>
                <c:pt idx="2">
                  <c:v>9.7163242292275314</c:v>
                </c:pt>
                <c:pt idx="3">
                  <c:v>11.261585950872755</c:v>
                </c:pt>
                <c:pt idx="4">
                  <c:v>11.481468949781757</c:v>
                </c:pt>
                <c:pt idx="5">
                  <c:v>11.531949580778349</c:v>
                </c:pt>
                <c:pt idx="6">
                  <c:v>10.43071811174535</c:v>
                </c:pt>
                <c:pt idx="7">
                  <c:v>11.620913629418503</c:v>
                </c:pt>
                <c:pt idx="8">
                  <c:v>10.083606459580748</c:v>
                </c:pt>
                <c:pt idx="9">
                  <c:v>11.437523408520264</c:v>
                </c:pt>
                <c:pt idx="10">
                  <c:v>10.528519749498377</c:v>
                </c:pt>
                <c:pt idx="11">
                  <c:v>11.896646703398718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38-4949-B6CD-918EB9F5B49C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MaxExport!$AM$25:$AM$36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MaxExport!$AS$25:$AS$36</c:f>
              <c:numCache>
                <c:formatCode>_-* #,##0.0_-;\-* #,##0.0_-;_-* "-"??_-;_-@_-</c:formatCode>
                <c:ptCount val="12"/>
                <c:pt idx="0">
                  <c:v>7.7197455228830956</c:v>
                </c:pt>
                <c:pt idx="1">
                  <c:v>8.1816106486605964</c:v>
                </c:pt>
                <c:pt idx="2">
                  <c:v>8.6534909737199701</c:v>
                </c:pt>
                <c:pt idx="3">
                  <c:v>9.2265701391033161</c:v>
                </c:pt>
                <c:pt idx="4">
                  <c:v>9.6361756111348136</c:v>
                </c:pt>
                <c:pt idx="5">
                  <c:v>9.9300940560407884</c:v>
                </c:pt>
                <c:pt idx="6">
                  <c:v>10.00359838167995</c:v>
                </c:pt>
                <c:pt idx="7">
                  <c:v>10.200831948477333</c:v>
                </c:pt>
                <c:pt idx="8">
                  <c:v>10.189182972070245</c:v>
                </c:pt>
                <c:pt idx="9">
                  <c:v>10.279993382093283</c:v>
                </c:pt>
                <c:pt idx="10">
                  <c:v>10.297889070115252</c:v>
                </c:pt>
                <c:pt idx="11">
                  <c:v>10.392650318489377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38-4949-B6CD-918EB9F5B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MinSeaWat!$AF$22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FA-47FE-9E38-1623A0D2E5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FA-47FE-9E38-1623A0D2E5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FA-47FE-9E38-1623A0D2E5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MinSeaWat!$AF$23:$AH$23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MinSeaWat!$AF$38:$AH$38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199960.06942164732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FA-47FE-9E38-1623A0D2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MinSeaWat!$Z$22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F1-4447-B381-D466A75D36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F1-4447-B381-D466A75D36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F1-4447-B381-D466A75D36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F1-4447-B381-D466A75D362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MinSeaWat!$Z$23:$AC$23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MinSeaWat!$Z$38:$AC$38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5.8291110226719738</c:v>
                </c:pt>
                <c:pt idx="3">
                  <c:v>8.3074324324324333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F1-4447-B381-D466A75D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MinSeaWat!$AM$25:$AM$36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MinSeaWat!$AQ$25:$AQ$36</c:f>
              <c:numCache>
                <c:formatCode>_-* #,##0.0_-;\-* #,##0.0_-;_-* "-"??_-;_-@_-</c:formatCode>
                <c:ptCount val="12"/>
                <c:pt idx="0">
                  <c:v>6.4843506160763509</c:v>
                </c:pt>
                <c:pt idx="1">
                  <c:v>7.5671307393940861</c:v>
                </c:pt>
                <c:pt idx="2">
                  <c:v>8.075723630259807</c:v>
                </c:pt>
                <c:pt idx="3">
                  <c:v>9.0869909538856746</c:v>
                </c:pt>
                <c:pt idx="4">
                  <c:v>9.0244178819078673</c:v>
                </c:pt>
                <c:pt idx="5">
                  <c:v>9.1466797151224544</c:v>
                </c:pt>
                <c:pt idx="6">
                  <c:v>8.2468225184981883</c:v>
                </c:pt>
                <c:pt idx="7">
                  <c:v>9.1957466353864117</c:v>
                </c:pt>
                <c:pt idx="8">
                  <c:v>9.3944244677747637</c:v>
                </c:pt>
                <c:pt idx="9">
                  <c:v>9.8958230182841014</c:v>
                </c:pt>
                <c:pt idx="10">
                  <c:v>9.0986068922554004</c:v>
                </c:pt>
                <c:pt idx="11">
                  <c:v>12.770448656361769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72-4146-AA03-8C16878FBA4B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MinSeaWat!$AM$25:$AM$36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MinSeaWat!$AS$25:$AS$36</c:f>
              <c:numCache>
                <c:formatCode>_-* #,##0.0_-;\-* #,##0.0_-;_-* "-"??_-;_-@_-</c:formatCode>
                <c:ptCount val="12"/>
                <c:pt idx="0">
                  <c:v>6.4843506160763509</c:v>
                </c:pt>
                <c:pt idx="1">
                  <c:v>7.0055227916151797</c:v>
                </c:pt>
                <c:pt idx="2">
                  <c:v>7.3345787966007396</c:v>
                </c:pt>
                <c:pt idx="3">
                  <c:v>7.7196379701745599</c:v>
                </c:pt>
                <c:pt idx="4">
                  <c:v>7.9566530367096018</c:v>
                </c:pt>
                <c:pt idx="5">
                  <c:v>8.141153296928648</c:v>
                </c:pt>
                <c:pt idx="6">
                  <c:v>8.1566682223178262</c:v>
                </c:pt>
                <c:pt idx="7">
                  <c:v>8.2833851019603362</c:v>
                </c:pt>
                <c:pt idx="8">
                  <c:v>8.3937917335004713</c:v>
                </c:pt>
                <c:pt idx="9">
                  <c:v>8.5030568609095614</c:v>
                </c:pt>
                <c:pt idx="10">
                  <c:v>8.5459407515555288</c:v>
                </c:pt>
                <c:pt idx="11">
                  <c:v>8.7963349542112752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72-4146-AA03-8C16878F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MaxSeaWat!$AF$22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3D-4E5A-AF86-87062C8608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3D-4E5A-AF86-87062C8608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3D-4E5A-AF86-87062C8608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MaxSeaWat!$AF$23:$AH$23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MaxSeaWat!$AF$38:$AH$38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190455.84234234234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3D-4E5A-AF86-87062C860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MaxSeaWat!$Z$22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ED-43CD-9381-20B3D65BF3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ED-43CD-9381-20B3D65BF3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8ED-43CD-9381-20B3D65BF3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8ED-43CD-9381-20B3D65BF3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MaxSeaWat!$Z$23:$AC$23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MaxSeaWat!$Z$38:$AC$38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0</c:v>
                </c:pt>
                <c:pt idx="3">
                  <c:v>12.603603603603602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ED-43CD-9381-20B3D65B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MaxSeaWat!$AM$25:$AM$36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MaxSeaWat!$AQ$25:$AQ$36</c:f>
              <c:numCache>
                <c:formatCode>_-* #,##0.0_-;\-* #,##0.0_-;_-* "-"??_-;_-@_-</c:formatCode>
                <c:ptCount val="12"/>
                <c:pt idx="0">
                  <c:v>6.6959523361835602</c:v>
                </c:pt>
                <c:pt idx="1">
                  <c:v>7.2035637937701971</c:v>
                </c:pt>
                <c:pt idx="2">
                  <c:v>7.7093270329301404</c:v>
                </c:pt>
                <c:pt idx="3">
                  <c:v>8.6620279784667691</c:v>
                </c:pt>
                <c:pt idx="4">
                  <c:v>8.7107445876285308</c:v>
                </c:pt>
                <c:pt idx="5">
                  <c:v>8.7657796502384748</c:v>
                </c:pt>
                <c:pt idx="6">
                  <c:v>7.9267090620031802</c:v>
                </c:pt>
                <c:pt idx="7">
                  <c:v>8.4308616852146265</c:v>
                </c:pt>
                <c:pt idx="8">
                  <c:v>9.1317146456137319</c:v>
                </c:pt>
                <c:pt idx="9">
                  <c:v>9.3740820349761513</c:v>
                </c:pt>
                <c:pt idx="10">
                  <c:v>8.7295114510376823</c:v>
                </c:pt>
                <c:pt idx="11">
                  <c:v>12.457403330652935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49-43A7-8F2B-0690D77DBDAC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MaxSeaWat!$AM$25:$AM$36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MaxSeaWat!$AS$25:$AS$36</c:f>
              <c:numCache>
                <c:formatCode>_-* #,##0.0_-;\-* #,##0.0_-;_-* "-"??_-;_-@_-</c:formatCode>
                <c:ptCount val="12"/>
                <c:pt idx="0">
                  <c:v>6.695952336183562</c:v>
                </c:pt>
                <c:pt idx="1">
                  <c:v>6.9402798427397849</c:v>
                </c:pt>
                <c:pt idx="2">
                  <c:v>7.17673975466613</c:v>
                </c:pt>
                <c:pt idx="3">
                  <c:v>7.5031035347837589</c:v>
                </c:pt>
                <c:pt idx="4">
                  <c:v>7.7224731939243698</c:v>
                </c:pt>
                <c:pt idx="5">
                  <c:v>7.8842261328877967</c:v>
                </c:pt>
                <c:pt idx="6">
                  <c:v>7.8904637058134668</c:v>
                </c:pt>
                <c:pt idx="7">
                  <c:v>7.9563658984233641</c:v>
                </c:pt>
                <c:pt idx="8">
                  <c:v>8.0731631065646656</c:v>
                </c:pt>
                <c:pt idx="9">
                  <c:v>8.1677983341406719</c:v>
                </c:pt>
                <c:pt idx="10">
                  <c:v>8.208245723296173</c:v>
                </c:pt>
                <c:pt idx="11">
                  <c:v>8.4601009582792148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49-43A7-8F2B-0690D77DB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424086398185992"/>
          <c:y val="0.6094395311424905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Gas Loss</a:t>
            </a:r>
            <a:r>
              <a:rPr lang="pt-BR" sz="1800" baseline="0"/>
              <a:t> Impact</a:t>
            </a:r>
            <a:endParaRPr lang="pt-BR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Summary!$A$3:$A$6</c:f>
              <c:numCache>
                <c:formatCode>0%</c:formatCode>
                <c:ptCount val="4"/>
                <c:pt idx="0">
                  <c:v>0.02</c:v>
                </c:pt>
                <c:pt idx="1">
                  <c:v>0.01</c:v>
                </c:pt>
                <c:pt idx="2" formatCode="0.00%">
                  <c:v>5.0000000000000001E-3</c:v>
                </c:pt>
                <c:pt idx="3" formatCode="0.00%">
                  <c:v>2E-3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11.00531360040344</c:v>
                </c:pt>
                <c:pt idx="1">
                  <c:v>9.7641369746991096</c:v>
                </c:pt>
                <c:pt idx="2">
                  <c:v>9.143558435416173</c:v>
                </c:pt>
                <c:pt idx="3">
                  <c:v>8.7716359193013993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F-4182-91BA-5D1707AFF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53344"/>
        <c:axId val="651273952"/>
      </c:barChart>
      <c:catAx>
        <c:axId val="3998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Gas</a:t>
                </a:r>
                <a:r>
                  <a:rPr lang="pt-BR" sz="1200" baseline="0"/>
                  <a:t> Loss (% of production)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273952"/>
        <c:crosses val="autoZero"/>
        <c:auto val="1"/>
        <c:lblAlgn val="ctr"/>
        <c:lblOffset val="100"/>
        <c:noMultiLvlLbl val="0"/>
      </c:catAx>
      <c:valAx>
        <c:axId val="65127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Average</a:t>
                </a:r>
                <a:r>
                  <a:rPr lang="pt-BR" sz="1200" baseline="0"/>
                  <a:t> CO2 Intensity</a:t>
                </a:r>
              </a:p>
              <a:p>
                <a:pPr>
                  <a:defRPr sz="1200"/>
                </a:pPr>
                <a:r>
                  <a:rPr lang="pt-BR" sz="1200" baseline="0"/>
                  <a:t>(kg CO2/boe)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Base Production Load </a:t>
            </a:r>
            <a:r>
              <a:rPr lang="pt-BR" sz="1800" baseline="0"/>
              <a:t>Impact</a:t>
            </a:r>
            <a:endParaRPr lang="pt-BR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Summary!$A$8:$A$13</c:f>
              <c:strCache>
                <c:ptCount val="6"/>
                <c:pt idx="0">
                  <c:v>-20%</c:v>
                </c:pt>
                <c:pt idx="1">
                  <c:v>-10%</c:v>
                </c:pt>
                <c:pt idx="2">
                  <c:v>Base</c:v>
                </c:pt>
                <c:pt idx="3">
                  <c:v>10%</c:v>
                </c:pt>
                <c:pt idx="4">
                  <c:v>20%</c:v>
                </c:pt>
                <c:pt idx="5">
                  <c:v>Wind-farm</c:v>
                </c:pt>
              </c:strCache>
            </c:strRef>
          </c:cat>
          <c:val>
            <c:numRef>
              <c:f>Summary!$D$8:$D$13</c:f>
              <c:numCache>
                <c:formatCode>General</c:formatCode>
                <c:ptCount val="6"/>
                <c:pt idx="0">
                  <c:v>8.2539951067001862</c:v>
                </c:pt>
                <c:pt idx="1">
                  <c:v>8.5128155130007936</c:v>
                </c:pt>
                <c:pt idx="2">
                  <c:v>8.7716359193013993</c:v>
                </c:pt>
                <c:pt idx="3">
                  <c:v>9.0304563256020103</c:v>
                </c:pt>
                <c:pt idx="4">
                  <c:v>9.2892767319026177</c:v>
                </c:pt>
                <c:pt idx="5">
                  <c:v>5.6054344983208182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F-4182-91BA-5D1707AFF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53344"/>
        <c:axId val="651273952"/>
      </c:barChart>
      <c:catAx>
        <c:axId val="3998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Base Production Load </a:t>
                </a:r>
                <a:r>
                  <a:rPr lang="pt-BR" sz="1200" baseline="0"/>
                  <a:t>(% of initial value)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273952"/>
        <c:crosses val="autoZero"/>
        <c:auto val="1"/>
        <c:lblAlgn val="ctr"/>
        <c:lblOffset val="100"/>
        <c:noMultiLvlLbl val="0"/>
      </c:catAx>
      <c:valAx>
        <c:axId val="651273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Average</a:t>
                </a:r>
                <a:r>
                  <a:rPr lang="pt-BR" sz="1200" baseline="0"/>
                  <a:t> CO2 Intensity</a:t>
                </a:r>
              </a:p>
              <a:p>
                <a:pPr>
                  <a:defRPr sz="1200"/>
                </a:pPr>
                <a:r>
                  <a:rPr lang="pt-BR" sz="1200" baseline="0"/>
                  <a:t>(kg CO2/boe)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Gas Injection x Export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Summary!$A$15:$A$17</c:f>
              <c:strCache>
                <c:ptCount val="3"/>
                <c:pt idx="0">
                  <c:v>No Export</c:v>
                </c:pt>
                <c:pt idx="1">
                  <c:v>Base Case</c:v>
                </c:pt>
                <c:pt idx="2">
                  <c:v>No Gas Inj.</c:v>
                </c:pt>
              </c:strCache>
            </c:strRef>
          </c:cat>
          <c:val>
            <c:numRef>
              <c:f>Summary!$D$15:$D$17</c:f>
              <c:numCache>
                <c:formatCode>General</c:formatCode>
                <c:ptCount val="3"/>
                <c:pt idx="0">
                  <c:v>8.0010306573456358</c:v>
                </c:pt>
                <c:pt idx="1">
                  <c:v>8.7716359193013993</c:v>
                </c:pt>
                <c:pt idx="2">
                  <c:v>10.392650318489377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F-4182-91BA-5D1707AFF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53344"/>
        <c:axId val="651273952"/>
      </c:barChart>
      <c:catAx>
        <c:axId val="3998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Gas Management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273952"/>
        <c:crosses val="autoZero"/>
        <c:auto val="1"/>
        <c:lblAlgn val="ctr"/>
        <c:lblOffset val="100"/>
        <c:noMultiLvlLbl val="0"/>
      </c:catAx>
      <c:valAx>
        <c:axId val="651273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Average</a:t>
                </a:r>
                <a:r>
                  <a:rPr lang="pt-BR" sz="1200" baseline="0"/>
                  <a:t> CO2 Intensity</a:t>
                </a:r>
              </a:p>
              <a:p>
                <a:pPr>
                  <a:defRPr sz="1200"/>
                </a:pPr>
                <a:r>
                  <a:rPr lang="pt-BR" sz="1200" baseline="0"/>
                  <a:t>(kg CO2/boe)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Sea Water Injection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Summary!$A$19:$A$21</c:f>
              <c:strCache>
                <c:ptCount val="3"/>
                <c:pt idx="0">
                  <c:v>Min. Qwi sea</c:v>
                </c:pt>
                <c:pt idx="1">
                  <c:v>Base Case</c:v>
                </c:pt>
                <c:pt idx="2">
                  <c:v>Max. Qwi sea</c:v>
                </c:pt>
              </c:strCache>
            </c:strRef>
          </c:cat>
          <c:val>
            <c:numRef>
              <c:f>Summary!$D$19:$D$21</c:f>
              <c:numCache>
                <c:formatCode>General</c:formatCode>
                <c:ptCount val="3"/>
                <c:pt idx="0">
                  <c:v>8.7963349542112752</c:v>
                </c:pt>
                <c:pt idx="1">
                  <c:v>8.7716359193013993</c:v>
                </c:pt>
                <c:pt idx="2">
                  <c:v>8.4601009582792148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7-4615-AE4D-8C8CBB6E8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53344"/>
        <c:axId val="651273952"/>
      </c:barChart>
      <c:catAx>
        <c:axId val="3998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Water Management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273952"/>
        <c:crosses val="autoZero"/>
        <c:auto val="1"/>
        <c:lblAlgn val="ctr"/>
        <c:lblOffset val="100"/>
        <c:noMultiLvlLbl val="0"/>
      </c:catAx>
      <c:valAx>
        <c:axId val="651273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Average</a:t>
                </a:r>
                <a:r>
                  <a:rPr lang="pt-BR" sz="1200" baseline="0"/>
                  <a:t> CO2 Intensity</a:t>
                </a:r>
              </a:p>
              <a:p>
                <a:pPr>
                  <a:defRPr sz="1200"/>
                </a:pPr>
                <a:r>
                  <a:rPr lang="pt-BR" sz="1200" baseline="0"/>
                  <a:t>(kg CO2/boe)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Proposed Modifications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Summary!$A$23:$A$24</c:f>
              <c:strCache>
                <c:ptCount val="2"/>
                <c:pt idx="0">
                  <c:v>Original</c:v>
                </c:pt>
                <c:pt idx="1">
                  <c:v>Modified</c:v>
                </c:pt>
              </c:strCache>
            </c:strRef>
          </c:cat>
          <c:val>
            <c:numRef>
              <c:f>Summary!$D$23:$D$24</c:f>
              <c:numCache>
                <c:formatCode>General</c:formatCode>
                <c:ptCount val="2"/>
                <c:pt idx="0">
                  <c:v>11.080968219150275</c:v>
                </c:pt>
                <c:pt idx="1">
                  <c:v>8.7716359193013993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F-4182-91BA-5D1707AFF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53344"/>
        <c:axId val="651273952"/>
      </c:barChart>
      <c:catAx>
        <c:axId val="3998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Scenario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273952"/>
        <c:crosses val="autoZero"/>
        <c:auto val="1"/>
        <c:lblAlgn val="ctr"/>
        <c:lblOffset val="100"/>
        <c:noMultiLvlLbl val="0"/>
      </c:catAx>
      <c:valAx>
        <c:axId val="65127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Average</a:t>
                </a:r>
                <a:r>
                  <a:rPr lang="pt-BR" sz="1200" baseline="0"/>
                  <a:t> CO2 Intensity</a:t>
                </a:r>
              </a:p>
              <a:p>
                <a:pPr>
                  <a:defRPr sz="1200"/>
                </a:pPr>
                <a:r>
                  <a:rPr lang="pt-BR" sz="1200" baseline="0"/>
                  <a:t>(kg CO2/boe)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1.png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chart" Target="../charts/chart4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4" Type="http://schemas.openxmlformats.org/officeDocument/2006/relationships/chart" Target="../charts/chart4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3582649" y="65246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E32E1493-F733-EF45-5B8D-44FB633F33A7}"/>
                </a:ext>
              </a:extLst>
            </xdr:cNvPr>
            <xdr:cNvSpPr txBox="1"/>
          </xdr:nvSpPr>
          <xdr:spPr>
            <a:xfrm>
              <a:off x="13582649" y="65246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𝜂_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𝜂_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3573124" y="148113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8A947A5B-139A-A4D6-9F4F-9FE5B4239488}"/>
                </a:ext>
              </a:extLst>
            </xdr:cNvPr>
            <xdr:cNvSpPr txBox="1"/>
          </xdr:nvSpPr>
          <xdr:spPr>
            <a:xfrm>
              <a:off x="13573124" y="148113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5754349" y="62388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91D65DF4-2EA7-9F7E-5716-304877E2AD66}"/>
                </a:ext>
              </a:extLst>
            </xdr:cNvPr>
            <xdr:cNvSpPr txBox="1"/>
          </xdr:nvSpPr>
          <xdr:spPr>
            <a:xfrm>
              <a:off x="15754349" y="62388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15792449" y="132873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EC7AC307-F584-4FAC-98E1-E9F479C26ED4}"/>
                </a:ext>
              </a:extLst>
            </xdr:cNvPr>
            <xdr:cNvSpPr txBox="1"/>
          </xdr:nvSpPr>
          <xdr:spPr>
            <a:xfrm>
              <a:off x="15792449" y="132873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15878174" y="19859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701E44C9-56B0-01D7-6301-29F6D6BADCB4}"/>
                </a:ext>
              </a:extLst>
            </xdr:cNvPr>
            <xdr:cNvSpPr txBox="1"/>
          </xdr:nvSpPr>
          <xdr:spPr>
            <a:xfrm>
              <a:off x="15878174" y="19859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44</xdr:col>
      <xdr:colOff>256951</xdr:colOff>
      <xdr:row>15</xdr:row>
      <xdr:rowOff>144051</xdr:rowOff>
    </xdr:from>
    <xdr:to>
      <xdr:col>50</xdr:col>
      <xdr:colOff>352201</xdr:colOff>
      <xdr:row>30</xdr:row>
      <xdr:rowOff>29751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239806</xdr:colOff>
      <xdr:row>1</xdr:row>
      <xdr:rowOff>33561</xdr:rowOff>
    </xdr:from>
    <xdr:to>
      <xdr:col>50</xdr:col>
      <xdr:colOff>335056</xdr:colOff>
      <xdr:row>15</xdr:row>
      <xdr:rowOff>102141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283845</xdr:colOff>
      <xdr:row>31</xdr:row>
      <xdr:rowOff>9581</xdr:rowOff>
    </xdr:from>
    <xdr:to>
      <xdr:col>50</xdr:col>
      <xdr:colOff>379095</xdr:colOff>
      <xdr:row>45</xdr:row>
      <xdr:rowOff>74576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46246155-F4FB-ECEE-53A1-A62B492287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532974</xdr:colOff>
      <xdr:row>0</xdr:row>
      <xdr:rowOff>113742</xdr:rowOff>
    </xdr:from>
    <xdr:to>
      <xdr:col>38</xdr:col>
      <xdr:colOff>274239</xdr:colOff>
      <xdr:row>15</xdr:row>
      <xdr:rowOff>167531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AA5540A-1B73-0932-D02B-CEED24DC30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521804</xdr:colOff>
      <xdr:row>33</xdr:row>
      <xdr:rowOff>181555</xdr:rowOff>
    </xdr:from>
    <xdr:to>
      <xdr:col>23</xdr:col>
      <xdr:colOff>462169</xdr:colOff>
      <xdr:row>48</xdr:row>
      <xdr:rowOff>141799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84B80C7-20DA-48AA-8075-E3FD120E94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498613</xdr:colOff>
      <xdr:row>34</xdr:row>
      <xdr:rowOff>3976</xdr:rowOff>
    </xdr:from>
    <xdr:to>
      <xdr:col>30</xdr:col>
      <xdr:colOff>505240</xdr:colOff>
      <xdr:row>48</xdr:row>
      <xdr:rowOff>149750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70F456DC-6FD0-45E3-9B0A-CF218D0C6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D16DA3B0-DBED-4507-9F6D-0277AEA46954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932E4E9B-7123-4FBA-9FB6-92E7C46CA605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365CD2AF-DA4F-444D-99E6-17A298C7BC39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AEAC0077-71C7-4225-B505-08D13D1658F5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5BEAB036-D332-40AC-8E75-7BDEE953D31C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45</xdr:col>
      <xdr:colOff>578336</xdr:colOff>
      <xdr:row>36</xdr:row>
      <xdr:rowOff>77713</xdr:rowOff>
    </xdr:from>
    <xdr:to>
      <xdr:col>52</xdr:col>
      <xdr:colOff>63986</xdr:colOff>
      <xdr:row>50</xdr:row>
      <xdr:rowOff>142707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6149FE0F-3E98-D210-0021-F57B6CDF98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A5579C6A-8B33-43DB-B05D-7DD10740A12D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B128ECFA-F73D-46B8-90CE-344526201FDD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C5F19898-7F5C-4469-A06F-B17DED9AA15B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666F6F90-39EC-4E78-81BB-1338CB1A35B9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D95F8401-9A0F-4FBF-AB48-369ED451C0B7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EC62125-5173-4C38-9135-3843D7184BA7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5370DEB-23ED-4061-BB68-42C68156A382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B8AFDEAE-8998-4FB5-8BC7-F0C25E16C962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B9BD547-178E-492D-93D2-4A62F29A0A6F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917585C9-6D53-4EB1-BD7C-03E3A0FA6154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9C798535-D649-42C1-8C6E-D7C31F7B049D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FCCCE588-B189-4081-A50B-F13FA15C9D1A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1662CEAC-A85F-48E4-BD8A-50C7E68EFB1C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F169F10C-D52E-40BD-B8A8-4DAE04622607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7137F809-424E-4F89-9A86-B3EF9834767E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C1DCC785-DD79-4CAF-BFB9-E2F8AC169605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120492F2-B4C2-4C66-A36D-1E5C6A5B6C78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553160B0-FD30-4B46-8E2D-33328E5AEAD4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DB7E34C0-CC05-4DFE-A8AE-3BDA525E73D8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2CA8DD60-9398-4737-A4C9-3CB60865DF19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4C495AF-4640-4366-9950-79200E664BB2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4010BBE6-131E-44C8-BDB2-9526FB6CD3CC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DC72F8DE-0277-4467-946A-0B7FA9EFCAF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92B0DEE3-A709-4DBB-91A6-4BA32B057C54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71AA7B5D-AB4A-4DDE-9B20-44E7B30718D7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9DDEDA69-692C-4E95-BB0E-67FD7CBA4E8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F4811BFC-A989-4B1F-B0CF-FE001B787A18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4F353184-A008-481B-B8F1-C9A2EEEB5DA1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7DB54C43-CF31-421D-8A2B-1C152BC3B2D2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9B8DA382-5E8D-4878-8AB4-4A216B9C6954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FE91814-2289-455D-AC25-2F3860792EE4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58F6FB18-DABA-4515-B796-FED6EF2EDD25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EB180C26-288D-4223-912B-D890A976BA77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308A26B6-C4F5-4A06-B4E1-F69614B31A51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659396D1-9E12-43AE-AC53-B088808D5E09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72A539A-89A0-417F-89AD-AD5D7ACD9B06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72A539A-89A0-417F-89AD-AD5D7ACD9B06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D6FD882-8A35-4D4E-B3F2-24F66A2DB07F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D6FD882-8A35-4D4E-B3F2-24F66A2DB07F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59446D08-80D0-4F47-A34A-842B50B8393A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59446D08-80D0-4F47-A34A-842B50B8393A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75033B1B-1DC9-477F-BA3D-E7E7A623A8F5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75033B1B-1DC9-477F-BA3D-E7E7A623A8F5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C3368C09-DB18-4C4A-B508-8093733929CD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C3368C09-DB18-4C4A-B508-8093733929CD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6E53439-7A3E-44E4-8659-3B62E232E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8F50F498-8078-43FD-967E-14F98B819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91511CD4-743C-4925-BC37-8BEE9A930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35DA23E-FC77-4E2D-B143-CE9C42FD80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D7DEB9B-33C7-4B2C-97CD-8ED25C67F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3A3F640-578C-4959-AFE3-7E434C312843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72D14CAE-5C1E-4745-BB4F-BFE0616B091B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988128BE-6291-4AE1-BF0B-FDF893CFD2B5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2DEA9A05-E4D6-4139-A1B7-F0578DD1079B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48826C15-EDE2-4AEB-86FA-24714B8EE9AF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38454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E4AE802A-54DA-4A68-A6AF-79651B37C08E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9882AC19-BA62-4DBE-AF8A-5DBF035DBBB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9A7A3123-3AA8-4B01-8B12-004D847CD922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8AB59F4E-116B-4317-ADBD-229A43BF8122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6A87D2B4-0134-4A06-B059-0C4A6DA0DC97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ED7407ED-D887-4C91-8243-7789404B51B6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F2BC305A-699B-46E2-9E42-37A33808652C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C782DD78-25FD-443A-BC50-DA92F6A32607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66290BF-EC17-4FC8-8D73-0E857FEC6D22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1C46EE0E-CAA1-4241-9745-78CB9A52C453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B88B038F-B99A-49FF-933F-4DCE28591F89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7B9A942E-FF7A-4A45-AD53-F3B935882DB7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620471E3-A8C5-4348-928B-7D8931C77F4D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593997F6-277B-4DDB-A088-E0F797FF0D36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C0AF5B81-A9F4-4CA1-BBBC-9603F8352FA9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584051</xdr:colOff>
      <xdr:row>6</xdr:row>
      <xdr:rowOff>176996</xdr:rowOff>
    </xdr:from>
    <xdr:to>
      <xdr:col>52</xdr:col>
      <xdr:colOff>69701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297180</xdr:colOff>
      <xdr:row>0</xdr:row>
      <xdr:rowOff>121920</xdr:rowOff>
    </xdr:from>
    <xdr:to>
      <xdr:col>11</xdr:col>
      <xdr:colOff>601980</xdr:colOff>
      <xdr:row>15</xdr:row>
      <xdr:rowOff>121920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15</xdr:row>
      <xdr:rowOff>167640</xdr:rowOff>
    </xdr:from>
    <xdr:to>
      <xdr:col>11</xdr:col>
      <xdr:colOff>571500</xdr:colOff>
      <xdr:row>30</xdr:row>
      <xdr:rowOff>167640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60960</xdr:colOff>
      <xdr:row>0</xdr:row>
      <xdr:rowOff>106680</xdr:rowOff>
    </xdr:from>
    <xdr:to>
      <xdr:col>19</xdr:col>
      <xdr:colOff>365760</xdr:colOff>
      <xdr:row>15</xdr:row>
      <xdr:rowOff>106680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16</xdr:row>
      <xdr:rowOff>0</xdr:rowOff>
    </xdr:from>
    <xdr:to>
      <xdr:col>19</xdr:col>
      <xdr:colOff>304800</xdr:colOff>
      <xdr:row>31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274320</xdr:colOff>
      <xdr:row>31</xdr:row>
      <xdr:rowOff>68580</xdr:rowOff>
    </xdr:from>
    <xdr:to>
      <xdr:col>11</xdr:col>
      <xdr:colOff>579120</xdr:colOff>
      <xdr:row>46</xdr:row>
      <xdr:rowOff>68580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96EA45D-7BD4-EE63-58EB-60E8540F8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Q50"/>
  <sheetViews>
    <sheetView topLeftCell="AA29" zoomScaleNormal="100" workbookViewId="0">
      <selection activeCell="AF43" sqref="AF43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37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37">
      <c r="W2" t="s">
        <v>62</v>
      </c>
    </row>
    <row r="3" spans="1:37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37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37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37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37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</row>
    <row r="8" spans="1:37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37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37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37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37">
      <c r="A12" s="3">
        <v>2400000</v>
      </c>
      <c r="B12">
        <v>5.0999999999999996</v>
      </c>
      <c r="AH12" s="1"/>
    </row>
    <row r="13" spans="1:37">
      <c r="A13" s="3">
        <v>2500000</v>
      </c>
      <c r="B13">
        <v>5.4</v>
      </c>
      <c r="Z13" s="1" t="s">
        <v>7</v>
      </c>
      <c r="AA13" t="s">
        <v>8</v>
      </c>
      <c r="AB13" t="s">
        <v>9</v>
      </c>
      <c r="AC13" t="s">
        <v>10</v>
      </c>
      <c r="AJ13" s="5"/>
    </row>
    <row r="14" spans="1:37">
      <c r="A14" s="3">
        <v>2600000</v>
      </c>
      <c r="B14">
        <v>5.8</v>
      </c>
      <c r="R14" t="s">
        <v>54</v>
      </c>
      <c r="S14">
        <v>1010</v>
      </c>
      <c r="T14" t="s">
        <v>56</v>
      </c>
      <c r="Z14" t="s">
        <v>25</v>
      </c>
      <c r="AA14" t="s">
        <v>27</v>
      </c>
      <c r="AB14" t="s">
        <v>26</v>
      </c>
      <c r="AC14" t="s">
        <v>28</v>
      </c>
    </row>
    <row r="15" spans="1:37">
      <c r="A15" s="3">
        <v>2700000</v>
      </c>
      <c r="B15">
        <v>6.1</v>
      </c>
      <c r="R15" t="s">
        <v>67</v>
      </c>
      <c r="S15">
        <v>10</v>
      </c>
      <c r="T15" t="s">
        <v>57</v>
      </c>
      <c r="Z15" s="5">
        <v>3750</v>
      </c>
      <c r="AA15" s="5">
        <f>Z15*AE6</f>
        <v>288.46153846153845</v>
      </c>
      <c r="AB15" s="5">
        <f>Z15*Z15*AF6</f>
        <v>3514.792899408284</v>
      </c>
      <c r="AC15" s="5">
        <v>59</v>
      </c>
    </row>
    <row r="16" spans="1:37">
      <c r="A16" s="3">
        <v>2800000</v>
      </c>
      <c r="B16">
        <v>6.4</v>
      </c>
      <c r="R16" t="s">
        <v>68</v>
      </c>
      <c r="S16">
        <v>200</v>
      </c>
      <c r="T16" t="s">
        <v>57</v>
      </c>
      <c r="Z16" s="5">
        <v>3750</v>
      </c>
      <c r="AA16" s="5">
        <f t="shared" ref="AA16:AA20" si="2">Z16*AE7</f>
        <v>415.38461538461542</v>
      </c>
      <c r="AB16" s="5">
        <f t="shared" ref="AB16:AB20" si="3">Z16*Z16*AF7</f>
        <v>3315.0887573964496</v>
      </c>
      <c r="AC16" s="5">
        <v>68</v>
      </c>
    </row>
    <row r="17" spans="1:43">
      <c r="A17" s="3">
        <v>2900000</v>
      </c>
      <c r="B17">
        <v>6.8</v>
      </c>
      <c r="O17" s="1"/>
      <c r="R17" t="s">
        <v>55</v>
      </c>
      <c r="S17">
        <f>S16-S15</f>
        <v>190</v>
      </c>
      <c r="T17" t="s">
        <v>57</v>
      </c>
      <c r="Z17" s="5">
        <v>3750</v>
      </c>
      <c r="AA17" s="5">
        <f t="shared" si="2"/>
        <v>576.92307692307691</v>
      </c>
      <c r="AB17" s="5">
        <f t="shared" si="3"/>
        <v>3118.0473372781066</v>
      </c>
      <c r="AC17" s="5">
        <v>77</v>
      </c>
    </row>
    <row r="18" spans="1:43">
      <c r="A18" s="3">
        <v>3000000</v>
      </c>
      <c r="B18">
        <v>7.1</v>
      </c>
      <c r="R18" t="s">
        <v>58</v>
      </c>
      <c r="S18" s="12">
        <f>S17*100000/S14/10</f>
        <v>1881.1881188118812</v>
      </c>
      <c r="T18" t="s">
        <v>59</v>
      </c>
      <c r="Z18" s="5">
        <v>3750</v>
      </c>
      <c r="AA18" s="5">
        <f t="shared" si="2"/>
        <v>692.30769230769238</v>
      </c>
      <c r="AB18" s="5">
        <f t="shared" si="3"/>
        <v>2942.3076923076924</v>
      </c>
      <c r="AC18" s="5">
        <v>80</v>
      </c>
      <c r="AF18" t="s">
        <v>47</v>
      </c>
      <c r="AG18" s="9">
        <v>2.19</v>
      </c>
      <c r="AH18" t="s">
        <v>61</v>
      </c>
    </row>
    <row r="19" spans="1:43">
      <c r="A19" s="3">
        <v>5000000</v>
      </c>
      <c r="B19">
        <v>14.2</v>
      </c>
      <c r="Z19" s="5">
        <v>3750</v>
      </c>
      <c r="AA19" s="5">
        <f t="shared" si="2"/>
        <v>769.61538461538464</v>
      </c>
      <c r="AB19" s="5">
        <f t="shared" si="3"/>
        <v>2753.2544378698226</v>
      </c>
      <c r="AC19" s="5">
        <v>78</v>
      </c>
    </row>
    <row r="20" spans="1:43">
      <c r="R20" t="s">
        <v>70</v>
      </c>
      <c r="S20">
        <v>2500</v>
      </c>
      <c r="T20" t="s">
        <v>25</v>
      </c>
      <c r="Z20" s="5">
        <v>3750</v>
      </c>
      <c r="AA20" s="5">
        <f t="shared" si="2"/>
        <v>848.07692307692309</v>
      </c>
      <c r="AB20" s="5">
        <f t="shared" si="3"/>
        <v>2489.6449704142015</v>
      </c>
      <c r="AC20" s="5">
        <v>74</v>
      </c>
    </row>
    <row r="21" spans="1:43">
      <c r="R21" t="s">
        <v>69</v>
      </c>
      <c r="S21">
        <v>4500</v>
      </c>
      <c r="T21" t="s">
        <v>25</v>
      </c>
    </row>
    <row r="22" spans="1:43">
      <c r="R22" t="s">
        <v>53</v>
      </c>
      <c r="X22" t="s">
        <v>24</v>
      </c>
      <c r="AD22" t="s">
        <v>29</v>
      </c>
    </row>
    <row r="23" spans="1:43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R23" t="s">
        <v>48</v>
      </c>
      <c r="S23" t="s">
        <v>71</v>
      </c>
      <c r="T23" t="s">
        <v>72</v>
      </c>
      <c r="U23" t="s">
        <v>60</v>
      </c>
      <c r="V23" t="s">
        <v>46</v>
      </c>
      <c r="X23" t="s">
        <v>19</v>
      </c>
      <c r="Y23" t="s">
        <v>20</v>
      </c>
      <c r="Z23" t="s">
        <v>22</v>
      </c>
      <c r="AA23" t="s">
        <v>21</v>
      </c>
      <c r="AB23" s="6" t="s">
        <v>23</v>
      </c>
      <c r="AD23" t="s">
        <v>31</v>
      </c>
      <c r="AE23" t="s">
        <v>30</v>
      </c>
      <c r="AF23" t="s">
        <v>32</v>
      </c>
      <c r="AG23" s="6" t="s">
        <v>23</v>
      </c>
      <c r="AH23" s="6" t="s">
        <v>33</v>
      </c>
      <c r="AK23" t="s">
        <v>77</v>
      </c>
      <c r="AL23" t="s">
        <v>75</v>
      </c>
      <c r="AN23" t="s">
        <v>73</v>
      </c>
      <c r="AP23" t="s">
        <v>74</v>
      </c>
    </row>
    <row r="24" spans="1:43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R24" t="s">
        <v>27</v>
      </c>
      <c r="S24" t="s">
        <v>25</v>
      </c>
      <c r="T24" t="s">
        <v>26</v>
      </c>
      <c r="U24" t="s">
        <v>28</v>
      </c>
      <c r="V24" t="s">
        <v>5</v>
      </c>
      <c r="X24" t="s">
        <v>18</v>
      </c>
      <c r="Y24" t="s">
        <v>18</v>
      </c>
      <c r="Z24" t="s">
        <v>18</v>
      </c>
      <c r="AA24" t="s">
        <v>18</v>
      </c>
      <c r="AB24" s="6" t="s">
        <v>18</v>
      </c>
      <c r="AD24" t="s">
        <v>12</v>
      </c>
      <c r="AE24" t="s">
        <v>12</v>
      </c>
      <c r="AF24" t="s">
        <v>12</v>
      </c>
      <c r="AG24" s="6" t="s">
        <v>12</v>
      </c>
      <c r="AH24" s="6" t="s">
        <v>34</v>
      </c>
      <c r="AI24" s="6" t="s">
        <v>35</v>
      </c>
      <c r="AJ24" s="6"/>
      <c r="AL24" s="6" t="s">
        <v>76</v>
      </c>
      <c r="AN24" s="6" t="s">
        <v>63</v>
      </c>
      <c r="AO24" s="6" t="s">
        <v>64</v>
      </c>
      <c r="AP24" s="6" t="s">
        <v>63</v>
      </c>
      <c r="AQ24" s="6" t="s">
        <v>64</v>
      </c>
    </row>
    <row r="25" spans="1:43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4">F25+G25</f>
        <v>2330000</v>
      </c>
      <c r="L25" s="3">
        <f t="shared" ref="L25:L36" si="5">E25-M25</f>
        <v>17000</v>
      </c>
      <c r="M25" s="3">
        <f t="shared" ref="M25:M36" si="6">E25-D25+D25*(D25&lt;1500)+(D25-17000)*(D25&gt;17000)*(D25&lt;18500)</f>
        <v>17000</v>
      </c>
      <c r="N25" s="3">
        <f>L25+M25</f>
        <v>34000</v>
      </c>
      <c r="O25" s="3">
        <f t="shared" ref="O25:O36" si="7">C25</f>
        <v>3500000</v>
      </c>
      <c r="P25" s="8">
        <v>7000</v>
      </c>
      <c r="R25" s="10">
        <f>D25/24</f>
        <v>750</v>
      </c>
      <c r="S25" s="16">
        <v>3372.378974521931</v>
      </c>
      <c r="T25" s="5">
        <f>LinearInterpolation(R25/S25,$AE$6:$AE$11,$AF$6:$AF$11)*S25*S25</f>
        <v>2051.7822370849681</v>
      </c>
      <c r="U25" s="2">
        <f>LinearInterpolation(R25/S25,$AE$6:$AE$11,$AC$6:$AC$11)</f>
        <v>74.718615528313137</v>
      </c>
      <c r="V25" s="10">
        <f t="shared" ref="V25:V26" si="8">T25*R25/60/60*$S$14*10/(U25/100)/1000000*IF(T25&lt;$S$18,NA(),1)</f>
        <v>5.7780671657346234</v>
      </c>
      <c r="X25" s="9">
        <v>11.8</v>
      </c>
      <c r="Y25">
        <f t="shared" ref="Y25:Y36" si="9">LinearInterpolation(K25,$A$5:$A$19,$B$5:$B$19)</f>
        <v>4.8899999999999997</v>
      </c>
      <c r="Z25" s="10">
        <f t="shared" ref="Z25:Z36" si="10">V25</f>
        <v>5.7780671657346234</v>
      </c>
      <c r="AA25" s="11">
        <f t="shared" ref="AA25:AA36" si="11">LinearInterpolation(M25,$P$5:$P$11,$Q$5:$Q$11)</f>
        <v>6</v>
      </c>
      <c r="AB25" s="11">
        <f>SUM(X25:AA25)</f>
        <v>28.468067165734624</v>
      </c>
      <c r="AD25" s="5">
        <f t="shared" ref="AD25:AD36" si="12">P25</f>
        <v>7000</v>
      </c>
      <c r="AE25" s="5">
        <f t="shared" ref="AE25:AE36" si="13">LinearInterpolation(O25,$D$5:$D$9,$E$5:$E$9)</f>
        <v>130000</v>
      </c>
      <c r="AF25" s="5">
        <f>LinearInterpolation(AB25,$H$5:$H$10,$I$5:$I$10)</f>
        <v>178502.01642755466</v>
      </c>
      <c r="AG25" s="5">
        <f>SUM(AD25:AF25)</f>
        <v>315502.01642755466</v>
      </c>
      <c r="AH25" s="5">
        <f>$AG$18*AG25/1000</f>
        <v>690.94941597634477</v>
      </c>
      <c r="AI25" s="5">
        <f>AH25*365.25</f>
        <v>252369.27418535991</v>
      </c>
      <c r="AJ25" s="5"/>
      <c r="AK25">
        <f>YEAR(A25)</f>
        <v>2020</v>
      </c>
      <c r="AL25" s="10">
        <f>J25*0.00036525</f>
        <v>4.5656249999999998</v>
      </c>
      <c r="AN25" s="5">
        <f t="shared" ref="AN25:AN36" si="14">AH25*1000/J25</f>
        <v>55.275953278107579</v>
      </c>
      <c r="AO25" s="14">
        <f>AN25/6.29</f>
        <v>8.7879099011299804</v>
      </c>
      <c r="AP25" s="14">
        <f t="shared" ref="AP25:AP36" si="15">AI25/AL25/1000</f>
        <v>55.275953278107586</v>
      </c>
      <c r="AQ25" s="14">
        <f t="shared" ref="AQ25:AQ36" si="16">AP25/6.29</f>
        <v>8.7879099011299822</v>
      </c>
    </row>
    <row r="26" spans="1:43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7">B26+C26/1000</f>
        <v>11600</v>
      </c>
      <c r="K26" s="3">
        <f t="shared" si="4"/>
        <v>2370000</v>
      </c>
      <c r="L26" s="3">
        <f t="shared" si="5"/>
        <v>19000</v>
      </c>
      <c r="M26" s="3">
        <f t="shared" si="6"/>
        <v>14000</v>
      </c>
      <c r="N26" s="3">
        <f t="shared" ref="N26:N36" si="18">L26+M26</f>
        <v>33000</v>
      </c>
      <c r="O26" s="3">
        <f t="shared" si="7"/>
        <v>3600000</v>
      </c>
      <c r="P26" s="8">
        <v>7000</v>
      </c>
      <c r="R26" s="10">
        <f t="shared" ref="R26:R36" si="19">D26/24</f>
        <v>791.66666666666663</v>
      </c>
      <c r="S26" s="16">
        <v>3542.4643068121322</v>
      </c>
      <c r="T26" s="5">
        <f t="shared" ref="T26:T36" si="20">LinearInterpolation(R26/S26,$AE$6:$AE$11,$AF$6:$AF$11)*S26*S26</f>
        <v>2251.7747327679722</v>
      </c>
      <c r="U26" s="2">
        <f t="shared" ref="U26:U36" si="21">LinearInterpolation(R26/S26,$AE$6:$AE$11,$AC$6:$AC$11)</f>
        <v>74.511352220859237</v>
      </c>
      <c r="V26" s="10">
        <f t="shared" si="8"/>
        <v>6.7121820779946413</v>
      </c>
      <c r="X26" s="9">
        <v>11.8</v>
      </c>
      <c r="Y26">
        <f t="shared" si="9"/>
        <v>5.01</v>
      </c>
      <c r="Z26" s="10">
        <f t="shared" si="10"/>
        <v>6.7121820779946413</v>
      </c>
      <c r="AA26" s="11">
        <f t="shared" si="11"/>
        <v>5.25</v>
      </c>
      <c r="AB26" s="11">
        <f t="shared" ref="AB26:AB36" si="22">SUM(X26:AA26)</f>
        <v>28.772182077994643</v>
      </c>
      <c r="AD26" s="5">
        <f t="shared" si="12"/>
        <v>7000</v>
      </c>
      <c r="AE26" s="5">
        <f t="shared" si="13"/>
        <v>131142.85714285713</v>
      </c>
      <c r="AF26" s="5">
        <f t="shared" ref="AF26:AF36" si="23">LinearInterpolation(AB26,$H$5:$H$10,$I$5:$I$10)</f>
        <v>180387.52888356679</v>
      </c>
      <c r="AG26" s="5">
        <f t="shared" ref="AG26:AG36" si="24">SUM(AD26:AF26)</f>
        <v>318530.38602642389</v>
      </c>
      <c r="AH26" s="5">
        <f t="shared" ref="AH26:AH36" si="25">$AG$18*AG26/1000</f>
        <v>697.58154539786824</v>
      </c>
      <c r="AI26" s="5">
        <f>AH26*365.25+AI25</f>
        <v>507160.93364193127</v>
      </c>
      <c r="AJ26" s="5"/>
      <c r="AK26">
        <f t="shared" ref="AK26:AK36" si="26">YEAR(A26)</f>
        <v>2021</v>
      </c>
      <c r="AL26" s="10">
        <f t="shared" ref="AL26:AL36" si="27">J26*0.00036525+AL25</f>
        <v>8.8025249999999993</v>
      </c>
      <c r="AN26" s="5">
        <f t="shared" si="14"/>
        <v>60.136340120505885</v>
      </c>
      <c r="AO26" s="14">
        <f t="shared" ref="AO26:AO36" si="28">AN26/6.29</f>
        <v>9.560626410255308</v>
      </c>
      <c r="AP26" s="14">
        <f t="shared" si="15"/>
        <v>57.615392588141624</v>
      </c>
      <c r="AQ26" s="14">
        <f t="shared" si="16"/>
        <v>9.1598398391322142</v>
      </c>
    </row>
    <row r="27" spans="1:43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7"/>
        <v>10700</v>
      </c>
      <c r="K27" s="3">
        <f t="shared" si="4"/>
        <v>2410000</v>
      </c>
      <c r="L27" s="3">
        <f t="shared" si="5"/>
        <v>15000</v>
      </c>
      <c r="M27" s="3">
        <f t="shared" si="6"/>
        <v>15000</v>
      </c>
      <c r="N27" s="3">
        <f t="shared" si="18"/>
        <v>30000</v>
      </c>
      <c r="O27" s="3">
        <f t="shared" si="7"/>
        <v>3700000</v>
      </c>
      <c r="P27" s="8">
        <v>7000</v>
      </c>
      <c r="R27" s="10">
        <f t="shared" si="19"/>
        <v>625</v>
      </c>
      <c r="S27" s="16">
        <v>3139.0657615038235</v>
      </c>
      <c r="T27" s="5">
        <f t="shared" si="20"/>
        <v>1968.6036785766648</v>
      </c>
      <c r="U27" s="2">
        <f t="shared" si="21"/>
        <v>78.594405038609892</v>
      </c>
      <c r="V27" s="10">
        <f>T27*R27/60/60*$S$14*10/(U27/100)/1000000*IF(T27&lt;$S$18,NA(),1)</f>
        <v>4.392032569306819</v>
      </c>
      <c r="W27" s="10"/>
      <c r="X27" s="9">
        <v>11.8</v>
      </c>
      <c r="Y27">
        <f t="shared" si="9"/>
        <v>5.13</v>
      </c>
      <c r="Z27" s="10">
        <f t="shared" si="10"/>
        <v>4.392032569306819</v>
      </c>
      <c r="AA27" s="11">
        <f t="shared" si="11"/>
        <v>5.5</v>
      </c>
      <c r="AB27" s="11">
        <f t="shared" si="22"/>
        <v>26.82203256930682</v>
      </c>
      <c r="AD27" s="5">
        <f t="shared" si="12"/>
        <v>7000</v>
      </c>
      <c r="AE27" s="5">
        <f t="shared" si="13"/>
        <v>132285.71428571429</v>
      </c>
      <c r="AF27" s="5">
        <f t="shared" si="23"/>
        <v>168296.60192970227</v>
      </c>
      <c r="AG27" s="5">
        <f t="shared" si="24"/>
        <v>307582.31621541653</v>
      </c>
      <c r="AH27" s="5">
        <f t="shared" si="25"/>
        <v>673.60527251176222</v>
      </c>
      <c r="AI27" s="5">
        <f t="shared" ref="AI27:AI36" si="29">AH27*365.25+AI26</f>
        <v>753195.25942685246</v>
      </c>
      <c r="AJ27" s="5"/>
      <c r="AK27">
        <f t="shared" si="26"/>
        <v>2022</v>
      </c>
      <c r="AL27" s="10">
        <f t="shared" si="27"/>
        <v>12.710699999999999</v>
      </c>
      <c r="AN27" s="5">
        <f t="shared" si="14"/>
        <v>62.953763786145998</v>
      </c>
      <c r="AO27" s="14">
        <f t="shared" si="28"/>
        <v>10.00854750177202</v>
      </c>
      <c r="AP27" s="14">
        <f t="shared" si="15"/>
        <v>59.256788330056764</v>
      </c>
      <c r="AQ27" s="14">
        <f t="shared" si="16"/>
        <v>9.4207930572427294</v>
      </c>
    </row>
    <row r="28" spans="1:43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7"/>
        <v>9800</v>
      </c>
      <c r="K28" s="3">
        <f t="shared" si="4"/>
        <v>2540000</v>
      </c>
      <c r="L28" s="3">
        <f t="shared" si="5"/>
        <v>16000</v>
      </c>
      <c r="M28" s="3">
        <f t="shared" si="6"/>
        <v>17000</v>
      </c>
      <c r="N28" s="3">
        <f t="shared" si="18"/>
        <v>33000</v>
      </c>
      <c r="O28" s="3">
        <f t="shared" si="7"/>
        <v>3800000</v>
      </c>
      <c r="P28" s="8">
        <v>7000</v>
      </c>
      <c r="R28" s="10">
        <f t="shared" si="19"/>
        <v>666.66666666666663</v>
      </c>
      <c r="S28" s="16">
        <v>3225.1591980418707</v>
      </c>
      <c r="T28" s="5">
        <f t="shared" si="20"/>
        <v>2022.7401987562</v>
      </c>
      <c r="U28" s="2">
        <f t="shared" si="21"/>
        <v>77.717561017979392</v>
      </c>
      <c r="V28" s="10">
        <f t="shared" ref="V28:V36" si="30">T28*R28/60/60*$S$14*10/(U28/100)/1000000*IF(T28&lt;$S$18,NA(),1)</f>
        <v>4.8679774367024162</v>
      </c>
      <c r="W28" s="10"/>
      <c r="X28" s="9">
        <v>11.8</v>
      </c>
      <c r="Y28">
        <f t="shared" si="9"/>
        <v>5.5600000000000005</v>
      </c>
      <c r="Z28" s="10">
        <f t="shared" si="10"/>
        <v>4.8679774367024162</v>
      </c>
      <c r="AA28" s="11">
        <f t="shared" si="11"/>
        <v>6</v>
      </c>
      <c r="AB28" s="11">
        <f t="shared" si="22"/>
        <v>28.227977436702417</v>
      </c>
      <c r="AD28" s="5">
        <f t="shared" si="12"/>
        <v>7000</v>
      </c>
      <c r="AE28" s="5">
        <f t="shared" si="13"/>
        <v>133428.57142857142</v>
      </c>
      <c r="AF28" s="5">
        <f t="shared" si="23"/>
        <v>177013.46010755497</v>
      </c>
      <c r="AG28" s="5">
        <f t="shared" si="24"/>
        <v>317442.03153612639</v>
      </c>
      <c r="AH28" s="5">
        <f t="shared" si="25"/>
        <v>695.19804906411673</v>
      </c>
      <c r="AI28" s="5">
        <f t="shared" si="29"/>
        <v>1007116.3468475211</v>
      </c>
      <c r="AJ28" s="5"/>
      <c r="AK28">
        <f t="shared" si="26"/>
        <v>2023</v>
      </c>
      <c r="AL28" s="10">
        <f t="shared" si="27"/>
        <v>16.290150000000001</v>
      </c>
      <c r="AN28" s="5">
        <f t="shared" si="14"/>
        <v>70.938576435113958</v>
      </c>
      <c r="AO28" s="14">
        <f t="shared" si="28"/>
        <v>11.277993073944986</v>
      </c>
      <c r="AP28" s="14">
        <f t="shared" si="15"/>
        <v>61.823638631167981</v>
      </c>
      <c r="AQ28" s="14">
        <f t="shared" si="16"/>
        <v>9.8288773658454662</v>
      </c>
    </row>
    <row r="29" spans="1:43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7"/>
        <v>9900</v>
      </c>
      <c r="K29" s="3">
        <f t="shared" si="4"/>
        <v>2580000</v>
      </c>
      <c r="L29" s="3">
        <f t="shared" si="5"/>
        <v>14000</v>
      </c>
      <c r="M29" s="3">
        <f t="shared" si="6"/>
        <v>21000</v>
      </c>
      <c r="N29" s="3">
        <f t="shared" si="18"/>
        <v>35000</v>
      </c>
      <c r="O29" s="3">
        <f t="shared" si="7"/>
        <v>3900000</v>
      </c>
      <c r="P29" s="8">
        <v>7000</v>
      </c>
      <c r="R29" s="10">
        <f t="shared" si="19"/>
        <v>583.33333333333337</v>
      </c>
      <c r="S29" s="16">
        <v>3043.4063875726602</v>
      </c>
      <c r="T29" s="5">
        <f>LinearInterpolation(R29/S29,$AE$6:$AE$11,$AF$6:$AF$11)*S29*S29</f>
        <v>1895.344476630195</v>
      </c>
      <c r="U29" s="2">
        <f t="shared" si="21"/>
        <v>79.315481268358567</v>
      </c>
      <c r="V29" s="10">
        <f t="shared" si="30"/>
        <v>3.9108022573770929</v>
      </c>
      <c r="W29" s="10"/>
      <c r="X29" s="9">
        <v>11.8</v>
      </c>
      <c r="Y29">
        <f t="shared" si="9"/>
        <v>5.72</v>
      </c>
      <c r="Z29" s="10">
        <f t="shared" si="10"/>
        <v>3.9108022573770929</v>
      </c>
      <c r="AA29" s="11">
        <f t="shared" si="11"/>
        <v>9.7567567567567561</v>
      </c>
      <c r="AB29" s="11">
        <f t="shared" si="22"/>
        <v>31.187559014133846</v>
      </c>
      <c r="AD29" s="5">
        <f t="shared" si="12"/>
        <v>7000</v>
      </c>
      <c r="AE29" s="5">
        <f t="shared" si="13"/>
        <v>134571.42857142858</v>
      </c>
      <c r="AF29" s="5">
        <f t="shared" si="23"/>
        <v>195362.86588762986</v>
      </c>
      <c r="AG29" s="5">
        <f t="shared" si="24"/>
        <v>336934.29445905844</v>
      </c>
      <c r="AH29" s="5">
        <f t="shared" si="25"/>
        <v>737.88610486533798</v>
      </c>
      <c r="AI29" s="5">
        <f t="shared" si="29"/>
        <v>1276629.2466495859</v>
      </c>
      <c r="AJ29" s="5"/>
      <c r="AK29">
        <f t="shared" si="26"/>
        <v>2024</v>
      </c>
      <c r="AL29" s="10">
        <f t="shared" si="27"/>
        <v>19.906124999999999</v>
      </c>
      <c r="AN29" s="5">
        <f t="shared" si="14"/>
        <v>74.533949986397772</v>
      </c>
      <c r="AO29" s="14">
        <f t="shared" si="28"/>
        <v>11.849594592432078</v>
      </c>
      <c r="AP29" s="14">
        <f t="shared" si="15"/>
        <v>64.132484180099638</v>
      </c>
      <c r="AQ29" s="14">
        <f t="shared" si="16"/>
        <v>10.195943430858447</v>
      </c>
    </row>
    <row r="30" spans="1:43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7"/>
        <v>10000</v>
      </c>
      <c r="K30" s="3">
        <f t="shared" si="4"/>
        <v>2710000</v>
      </c>
      <c r="L30" s="3">
        <f t="shared" si="5"/>
        <v>15000</v>
      </c>
      <c r="M30" s="3">
        <f t="shared" si="6"/>
        <v>21000</v>
      </c>
      <c r="N30" s="3">
        <f t="shared" si="18"/>
        <v>36000</v>
      </c>
      <c r="O30" s="3">
        <f t="shared" si="7"/>
        <v>4000000</v>
      </c>
      <c r="P30" s="8">
        <v>7000</v>
      </c>
      <c r="R30" s="10">
        <f t="shared" si="19"/>
        <v>625</v>
      </c>
      <c r="S30" s="16">
        <v>3139.0657615038235</v>
      </c>
      <c r="T30" s="5">
        <f t="shared" si="20"/>
        <v>1968.6036785766648</v>
      </c>
      <c r="U30" s="2">
        <f t="shared" si="21"/>
        <v>78.594405038609892</v>
      </c>
      <c r="V30" s="10">
        <f t="shared" si="30"/>
        <v>4.392032569306819</v>
      </c>
      <c r="W30" s="10"/>
      <c r="X30" s="9">
        <v>11.8</v>
      </c>
      <c r="Y30">
        <f t="shared" si="9"/>
        <v>6.13</v>
      </c>
      <c r="Z30" s="10">
        <f t="shared" si="10"/>
        <v>4.392032569306819</v>
      </c>
      <c r="AA30" s="11">
        <f t="shared" si="11"/>
        <v>9.7567567567567561</v>
      </c>
      <c r="AB30" s="11">
        <f t="shared" si="22"/>
        <v>32.078789326063578</v>
      </c>
      <c r="AD30" s="5">
        <f t="shared" si="12"/>
        <v>7000</v>
      </c>
      <c r="AE30" s="5">
        <f t="shared" si="13"/>
        <v>135714.28571428571</v>
      </c>
      <c r="AF30" s="5">
        <f t="shared" si="23"/>
        <v>200888.49382159419</v>
      </c>
      <c r="AG30" s="5">
        <f t="shared" si="24"/>
        <v>343602.7795358799</v>
      </c>
      <c r="AH30" s="5">
        <f t="shared" si="25"/>
        <v>752.49008718357697</v>
      </c>
      <c r="AI30" s="5">
        <f t="shared" si="29"/>
        <v>1551476.2509933873</v>
      </c>
      <c r="AJ30" s="5"/>
      <c r="AK30">
        <f t="shared" si="26"/>
        <v>2024</v>
      </c>
      <c r="AL30" s="10">
        <f t="shared" si="27"/>
        <v>23.558624999999999</v>
      </c>
      <c r="AN30" s="5">
        <f t="shared" si="14"/>
        <v>75.2490087183577</v>
      </c>
      <c r="AO30" s="14">
        <f t="shared" si="28"/>
        <v>11.963276425812035</v>
      </c>
      <c r="AP30" s="14">
        <f t="shared" si="15"/>
        <v>65.855976356573748</v>
      </c>
      <c r="AQ30" s="14">
        <f t="shared" si="16"/>
        <v>10.469948546355127</v>
      </c>
    </row>
    <row r="31" spans="1:43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7"/>
        <v>11100</v>
      </c>
      <c r="K31" s="3">
        <f t="shared" si="4"/>
        <v>2750000</v>
      </c>
      <c r="L31" s="3">
        <f t="shared" si="5"/>
        <v>17000</v>
      </c>
      <c r="M31" s="3">
        <f t="shared" si="6"/>
        <v>19000</v>
      </c>
      <c r="N31" s="3">
        <f t="shared" si="18"/>
        <v>36000</v>
      </c>
      <c r="O31" s="3">
        <f t="shared" si="7"/>
        <v>4100000</v>
      </c>
      <c r="P31" s="8">
        <v>7000</v>
      </c>
      <c r="R31" s="10">
        <f t="shared" si="19"/>
        <v>750</v>
      </c>
      <c r="S31" s="16">
        <v>3372.378974521931</v>
      </c>
      <c r="T31" s="5">
        <f>LinearInterpolation(R31/S31,$AE$6:$AE$11,$AF$6:$AF$11)*S31*S31</f>
        <v>2051.7822370849681</v>
      </c>
      <c r="U31" s="2">
        <f t="shared" si="21"/>
        <v>74.718615528313137</v>
      </c>
      <c r="V31" s="10">
        <f t="shared" si="30"/>
        <v>5.7780671657346234</v>
      </c>
      <c r="W31" s="10"/>
      <c r="X31" s="9">
        <v>11.8</v>
      </c>
      <c r="Y31">
        <f t="shared" si="9"/>
        <v>6.25</v>
      </c>
      <c r="Z31" s="10">
        <f t="shared" si="10"/>
        <v>5.7780671657346234</v>
      </c>
      <c r="AA31" s="11">
        <f t="shared" si="11"/>
        <v>9.3243243243243246</v>
      </c>
      <c r="AB31" s="11">
        <f t="shared" si="22"/>
        <v>33.152391490058946</v>
      </c>
      <c r="AD31" s="5">
        <f t="shared" si="12"/>
        <v>7000</v>
      </c>
      <c r="AE31" s="5">
        <f t="shared" si="13"/>
        <v>136857.14285714287</v>
      </c>
      <c r="AF31" s="5">
        <f t="shared" si="23"/>
        <v>207544.82723836548</v>
      </c>
      <c r="AG31" s="5">
        <f t="shared" si="24"/>
        <v>351401.97009550838</v>
      </c>
      <c r="AH31" s="5">
        <f t="shared" si="25"/>
        <v>769.57031450916338</v>
      </c>
      <c r="AI31" s="5">
        <f t="shared" si="29"/>
        <v>1832561.8083678591</v>
      </c>
      <c r="AJ31" s="5"/>
      <c r="AK31">
        <f t="shared" si="26"/>
        <v>2026</v>
      </c>
      <c r="AL31" s="10">
        <f t="shared" si="27"/>
        <v>27.6129</v>
      </c>
      <c r="AN31" s="5">
        <f t="shared" si="14"/>
        <v>69.330658964789492</v>
      </c>
      <c r="AO31" s="14">
        <f t="shared" si="28"/>
        <v>11.022362315546818</v>
      </c>
      <c r="AP31" s="14">
        <f t="shared" si="15"/>
        <v>66.366148009367336</v>
      </c>
      <c r="AQ31" s="14">
        <f t="shared" si="16"/>
        <v>10.551056917228511</v>
      </c>
    </row>
    <row r="32" spans="1:43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7"/>
        <v>10500</v>
      </c>
      <c r="K32" s="3">
        <f t="shared" si="4"/>
        <v>2790000</v>
      </c>
      <c r="L32" s="3">
        <f t="shared" si="5"/>
        <v>15000</v>
      </c>
      <c r="M32" s="3">
        <f t="shared" si="6"/>
        <v>23000</v>
      </c>
      <c r="N32" s="3">
        <f t="shared" si="18"/>
        <v>38000</v>
      </c>
      <c r="O32" s="3">
        <f t="shared" si="7"/>
        <v>4500000</v>
      </c>
      <c r="P32" s="8">
        <v>7000</v>
      </c>
      <c r="R32" s="10">
        <f t="shared" si="19"/>
        <v>625</v>
      </c>
      <c r="S32" s="16">
        <v>3139.0657615038235</v>
      </c>
      <c r="T32" s="5">
        <f t="shared" si="20"/>
        <v>1968.6036785766648</v>
      </c>
      <c r="U32" s="2">
        <f t="shared" si="21"/>
        <v>78.594405038609892</v>
      </c>
      <c r="V32" s="10">
        <f t="shared" si="30"/>
        <v>4.392032569306819</v>
      </c>
      <c r="W32" s="10"/>
      <c r="X32" s="9">
        <v>11.8</v>
      </c>
      <c r="Y32">
        <f t="shared" si="9"/>
        <v>6.37</v>
      </c>
      <c r="Z32" s="10">
        <f t="shared" si="10"/>
        <v>4.392032569306819</v>
      </c>
      <c r="AA32" s="11">
        <f t="shared" si="11"/>
        <v>10.189189189189189</v>
      </c>
      <c r="AB32" s="11">
        <f t="shared" si="22"/>
        <v>32.751221758496015</v>
      </c>
      <c r="AD32" s="5">
        <f t="shared" si="12"/>
        <v>7000</v>
      </c>
      <c r="AE32" s="5">
        <f t="shared" si="13"/>
        <v>141428.57142857142</v>
      </c>
      <c r="AF32" s="5">
        <f t="shared" si="23"/>
        <v>205057.57490267529</v>
      </c>
      <c r="AG32" s="5">
        <f t="shared" si="24"/>
        <v>353486.14633124671</v>
      </c>
      <c r="AH32" s="5">
        <f t="shared" si="25"/>
        <v>774.13466046543022</v>
      </c>
      <c r="AI32" s="5">
        <f t="shared" si="29"/>
        <v>2115314.4931028574</v>
      </c>
      <c r="AJ32" s="5"/>
      <c r="AK32">
        <f t="shared" si="26"/>
        <v>2027</v>
      </c>
      <c r="AL32" s="10">
        <f t="shared" si="27"/>
        <v>31.448025000000001</v>
      </c>
      <c r="AN32" s="5">
        <f t="shared" si="14"/>
        <v>73.727110520517172</v>
      </c>
      <c r="AO32" s="14">
        <f t="shared" si="28"/>
        <v>11.721321227427213</v>
      </c>
      <c r="AP32" s="14">
        <f t="shared" si="15"/>
        <v>67.263826364385594</v>
      </c>
      <c r="AQ32" s="14">
        <f t="shared" si="16"/>
        <v>10.693772077008838</v>
      </c>
    </row>
    <row r="33" spans="1:43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7"/>
        <v>9500</v>
      </c>
      <c r="K33" s="3">
        <f t="shared" si="4"/>
        <v>2830000</v>
      </c>
      <c r="L33" s="3">
        <f t="shared" si="5"/>
        <v>12000</v>
      </c>
      <c r="M33" s="3">
        <f t="shared" si="6"/>
        <v>21000</v>
      </c>
      <c r="N33" s="3">
        <f t="shared" si="18"/>
        <v>33000</v>
      </c>
      <c r="O33" s="3">
        <f t="shared" si="7"/>
        <v>3500000</v>
      </c>
      <c r="P33" s="8">
        <v>7000</v>
      </c>
      <c r="R33" s="10">
        <f t="shared" si="19"/>
        <v>500</v>
      </c>
      <c r="S33" s="16">
        <v>3043.4063875726602</v>
      </c>
      <c r="T33" s="5">
        <f t="shared" si="20"/>
        <v>2014.4270071754497</v>
      </c>
      <c r="U33" s="2">
        <f t="shared" si="21"/>
        <v>78.018235421685404</v>
      </c>
      <c r="V33" s="10">
        <f t="shared" si="30"/>
        <v>3.6219653332939643</v>
      </c>
      <c r="W33" s="10"/>
      <c r="X33" s="9">
        <v>11.8</v>
      </c>
      <c r="Y33">
        <f t="shared" si="9"/>
        <v>6.5200000000000005</v>
      </c>
      <c r="Z33" s="10">
        <f t="shared" si="10"/>
        <v>3.6219653332939643</v>
      </c>
      <c r="AA33" s="11">
        <f t="shared" si="11"/>
        <v>9.7567567567567561</v>
      </c>
      <c r="AB33" s="11">
        <f t="shared" si="22"/>
        <v>31.698722090050722</v>
      </c>
      <c r="AD33" s="5">
        <f t="shared" si="12"/>
        <v>7000</v>
      </c>
      <c r="AE33" s="5">
        <f t="shared" si="13"/>
        <v>130000</v>
      </c>
      <c r="AF33" s="5">
        <f t="shared" si="23"/>
        <v>198532.07695831446</v>
      </c>
      <c r="AG33" s="5">
        <f t="shared" si="24"/>
        <v>335532.07695831446</v>
      </c>
      <c r="AH33" s="5">
        <f t="shared" si="25"/>
        <v>734.81524853870872</v>
      </c>
      <c r="AI33" s="5">
        <f t="shared" si="29"/>
        <v>2383705.7626316207</v>
      </c>
      <c r="AJ33" s="5"/>
      <c r="AK33">
        <f t="shared" si="26"/>
        <v>2028</v>
      </c>
      <c r="AL33" s="10">
        <f t="shared" si="27"/>
        <v>34.917900000000003</v>
      </c>
      <c r="AN33" s="5">
        <f t="shared" si="14"/>
        <v>77.348973530390381</v>
      </c>
      <c r="AO33" s="14">
        <f t="shared" si="28"/>
        <v>12.297134106580346</v>
      </c>
      <c r="AP33" s="14">
        <f t="shared" si="15"/>
        <v>68.266011490714519</v>
      </c>
      <c r="AQ33" s="14">
        <f t="shared" si="16"/>
        <v>10.85310198580517</v>
      </c>
    </row>
    <row r="34" spans="1:43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7"/>
        <v>7500</v>
      </c>
      <c r="K34" s="3">
        <f t="shared" si="4"/>
        <v>2860000</v>
      </c>
      <c r="L34" s="3">
        <f t="shared" si="5"/>
        <v>14000</v>
      </c>
      <c r="M34" s="3">
        <f t="shared" si="6"/>
        <v>22000</v>
      </c>
      <c r="N34" s="3">
        <f t="shared" si="18"/>
        <v>36000</v>
      </c>
      <c r="O34" s="3">
        <f t="shared" si="7"/>
        <v>2500000</v>
      </c>
      <c r="P34" s="8">
        <v>7000</v>
      </c>
      <c r="R34" s="10">
        <f t="shared" si="19"/>
        <v>583.33333333333337</v>
      </c>
      <c r="S34" s="16">
        <v>3043.4063875726602</v>
      </c>
      <c r="T34" s="5">
        <f t="shared" si="20"/>
        <v>1895.344476630195</v>
      </c>
      <c r="U34" s="2">
        <f t="shared" si="21"/>
        <v>79.315481268358567</v>
      </c>
      <c r="V34" s="10">
        <f t="shared" si="30"/>
        <v>3.9108022573770929</v>
      </c>
      <c r="W34" s="10"/>
      <c r="X34" s="9">
        <v>11.8</v>
      </c>
      <c r="Y34">
        <f t="shared" si="9"/>
        <v>6.64</v>
      </c>
      <c r="Z34" s="10">
        <f t="shared" si="10"/>
        <v>3.9108022573770929</v>
      </c>
      <c r="AA34" s="11">
        <f t="shared" si="11"/>
        <v>9.9729729729729737</v>
      </c>
      <c r="AB34" s="11">
        <f t="shared" si="22"/>
        <v>32.323775230350066</v>
      </c>
      <c r="AD34" s="5">
        <f t="shared" si="12"/>
        <v>7000</v>
      </c>
      <c r="AE34" s="5">
        <f t="shared" si="13"/>
        <v>50000</v>
      </c>
      <c r="AF34" s="5">
        <f t="shared" si="23"/>
        <v>202407.40642817039</v>
      </c>
      <c r="AG34" s="5">
        <f t="shared" si="24"/>
        <v>259407.40642817039</v>
      </c>
      <c r="AH34" s="5">
        <f t="shared" si="25"/>
        <v>568.10222007769312</v>
      </c>
      <c r="AI34" s="5">
        <f t="shared" si="29"/>
        <v>2591205.0985149983</v>
      </c>
      <c r="AJ34" s="5"/>
      <c r="AK34">
        <f t="shared" si="26"/>
        <v>2029</v>
      </c>
      <c r="AL34" s="10">
        <f t="shared" si="27"/>
        <v>37.657275000000006</v>
      </c>
      <c r="AN34" s="5">
        <f t="shared" si="14"/>
        <v>75.746962677025749</v>
      </c>
      <c r="AO34" s="14">
        <f t="shared" si="28"/>
        <v>12.042442396983425</v>
      </c>
      <c r="AP34" s="14">
        <f t="shared" si="15"/>
        <v>68.810212595441328</v>
      </c>
      <c r="AQ34" s="14">
        <f t="shared" si="16"/>
        <v>10.939620444426284</v>
      </c>
    </row>
    <row r="35" spans="1:43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7"/>
        <v>8000</v>
      </c>
      <c r="K35" s="3">
        <f t="shared" si="4"/>
        <v>2900000</v>
      </c>
      <c r="L35" s="3">
        <f t="shared" si="5"/>
        <v>16000</v>
      </c>
      <c r="M35" s="3">
        <f t="shared" si="6"/>
        <v>19000</v>
      </c>
      <c r="N35" s="3">
        <f t="shared" si="18"/>
        <v>35000</v>
      </c>
      <c r="O35" s="3">
        <f t="shared" si="7"/>
        <v>2000000</v>
      </c>
      <c r="P35" s="8">
        <v>7000</v>
      </c>
      <c r="R35" s="10">
        <f t="shared" si="19"/>
        <v>666.66666666666663</v>
      </c>
      <c r="S35" s="16">
        <v>3225.1591980418707</v>
      </c>
      <c r="T35" s="5">
        <f t="shared" si="20"/>
        <v>2022.7401987562</v>
      </c>
      <c r="U35" s="2">
        <f t="shared" si="21"/>
        <v>77.717561017979392</v>
      </c>
      <c r="V35" s="10">
        <f t="shared" si="30"/>
        <v>4.8679774367024162</v>
      </c>
      <c r="W35" s="10"/>
      <c r="X35" s="9">
        <v>11.8</v>
      </c>
      <c r="Y35">
        <f t="shared" si="9"/>
        <v>6.8</v>
      </c>
      <c r="Z35" s="10">
        <f t="shared" si="10"/>
        <v>4.8679774367024162</v>
      </c>
      <c r="AA35" s="11">
        <f t="shared" si="11"/>
        <v>9.3243243243243246</v>
      </c>
      <c r="AB35" s="11">
        <f t="shared" si="22"/>
        <v>32.792301761026742</v>
      </c>
      <c r="AD35" s="5">
        <f t="shared" si="12"/>
        <v>7000</v>
      </c>
      <c r="AE35" s="5">
        <f t="shared" si="13"/>
        <v>50000</v>
      </c>
      <c r="AF35" s="5">
        <f t="shared" si="23"/>
        <v>205312.2709183658</v>
      </c>
      <c r="AG35" s="5">
        <f t="shared" si="24"/>
        <v>262312.2709183658</v>
      </c>
      <c r="AH35" s="5">
        <f t="shared" si="25"/>
        <v>574.46387331122116</v>
      </c>
      <c r="AI35" s="5">
        <f t="shared" si="29"/>
        <v>2801028.0282419217</v>
      </c>
      <c r="AJ35" s="5"/>
      <c r="AK35">
        <f t="shared" si="26"/>
        <v>2030</v>
      </c>
      <c r="AL35" s="10">
        <f t="shared" si="27"/>
        <v>40.579275000000003</v>
      </c>
      <c r="AN35" s="5">
        <f t="shared" si="14"/>
        <v>71.807984163902645</v>
      </c>
      <c r="AO35" s="14">
        <f t="shared" si="28"/>
        <v>11.41621369855368</v>
      </c>
      <c r="AP35" s="14">
        <f t="shared" si="15"/>
        <v>69.026073734484456</v>
      </c>
      <c r="AQ35" s="14">
        <f t="shared" si="16"/>
        <v>10.973938590538069</v>
      </c>
    </row>
    <row r="36" spans="1:43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7"/>
        <v>7000</v>
      </c>
      <c r="K36" s="3">
        <f t="shared" si="4"/>
        <v>2930000</v>
      </c>
      <c r="L36" s="3">
        <f t="shared" si="5"/>
        <v>14000</v>
      </c>
      <c r="M36" s="3">
        <f t="shared" si="6"/>
        <v>19000</v>
      </c>
      <c r="N36" s="3">
        <f t="shared" si="18"/>
        <v>33000</v>
      </c>
      <c r="O36" s="3">
        <f t="shared" si="7"/>
        <v>3000000</v>
      </c>
      <c r="P36" s="8">
        <v>7000</v>
      </c>
      <c r="R36" s="10">
        <f t="shared" si="19"/>
        <v>583.33333333333337</v>
      </c>
      <c r="S36" s="16">
        <v>3043.4063875726602</v>
      </c>
      <c r="T36" s="5">
        <f t="shared" si="20"/>
        <v>1895.344476630195</v>
      </c>
      <c r="U36" s="2">
        <f t="shared" si="21"/>
        <v>79.315481268358567</v>
      </c>
      <c r="V36" s="10">
        <f t="shared" si="30"/>
        <v>3.9108022573770929</v>
      </c>
      <c r="W36" s="10"/>
      <c r="X36" s="9">
        <v>11.8</v>
      </c>
      <c r="Y36">
        <f t="shared" si="9"/>
        <v>6.89</v>
      </c>
      <c r="Z36" s="10">
        <f t="shared" si="10"/>
        <v>3.9108022573770929</v>
      </c>
      <c r="AA36" s="11">
        <f t="shared" si="11"/>
        <v>9.3243243243243246</v>
      </c>
      <c r="AB36" s="11">
        <f t="shared" si="22"/>
        <v>31.92512658170142</v>
      </c>
      <c r="AD36" s="5">
        <f t="shared" si="12"/>
        <v>7000</v>
      </c>
      <c r="AE36" s="5">
        <f t="shared" si="13"/>
        <v>50000</v>
      </c>
      <c r="AF36" s="5">
        <f t="shared" si="23"/>
        <v>199935.78480654879</v>
      </c>
      <c r="AG36" s="5">
        <f t="shared" si="24"/>
        <v>256935.78480654879</v>
      </c>
      <c r="AH36" s="5">
        <f t="shared" si="25"/>
        <v>562.68936872634185</v>
      </c>
      <c r="AI36" s="5">
        <f t="shared" si="29"/>
        <v>3006550.3201692179</v>
      </c>
      <c r="AJ36" s="5"/>
      <c r="AK36">
        <f t="shared" si="26"/>
        <v>2031</v>
      </c>
      <c r="AL36" s="10">
        <f t="shared" si="27"/>
        <v>43.136025000000004</v>
      </c>
      <c r="AN36" s="5">
        <f t="shared" si="14"/>
        <v>80.384195532334559</v>
      </c>
      <c r="AO36" s="14">
        <f t="shared" si="28"/>
        <v>12.779681324695478</v>
      </c>
      <c r="AP36" s="14">
        <f t="shared" si="15"/>
        <v>69.699290098455236</v>
      </c>
      <c r="AQ36" s="14">
        <f t="shared" si="16"/>
        <v>11.080968219150275</v>
      </c>
    </row>
    <row r="38" spans="1:43">
      <c r="X38" s="11">
        <f>AVERAGE(X25:X36)</f>
        <v>11.799999999999999</v>
      </c>
      <c r="Y38" s="11">
        <f t="shared" ref="Y38:AB38" si="31">AVERAGE(Y25:Y36)</f>
        <v>5.9924999999999997</v>
      </c>
      <c r="Z38" s="11">
        <f t="shared" si="31"/>
        <v>4.7112284246845357</v>
      </c>
      <c r="AA38" s="11">
        <f t="shared" si="31"/>
        <v>8.3462837837837842</v>
      </c>
      <c r="AB38" s="11">
        <f t="shared" si="31"/>
        <v>30.850012208468318</v>
      </c>
      <c r="AD38" s="2">
        <f t="shared" ref="AD38:AG38" si="32">AVERAGE(AD25:AD36)</f>
        <v>7000</v>
      </c>
      <c r="AE38" s="2">
        <f t="shared" si="32"/>
        <v>112952.38095238095</v>
      </c>
      <c r="AF38" s="2">
        <f t="shared" si="32"/>
        <v>193270.07569250357</v>
      </c>
      <c r="AG38" s="2">
        <f t="shared" si="32"/>
        <v>313222.45664488449</v>
      </c>
    </row>
    <row r="39" spans="1:43">
      <c r="A39" s="7"/>
    </row>
    <row r="40" spans="1:43">
      <c r="A40" s="7"/>
      <c r="AD40" t="str">
        <f>AD23</f>
        <v>Flare</v>
      </c>
      <c r="AE40" t="str">
        <f>AE23</f>
        <v>Gas export compressor</v>
      </c>
      <c r="AF40" t="str">
        <f>X23</f>
        <v>Base production load</v>
      </c>
      <c r="AG40" t="str">
        <f>Y23</f>
        <v>Gas injection compressor</v>
      </c>
      <c r="AH40" t="str">
        <f>Z23</f>
        <v>produced water reinjection pump</v>
      </c>
      <c r="AI40" t="str">
        <f>AA23</f>
        <v>Seawater injection pump</v>
      </c>
    </row>
    <row r="41" spans="1:43">
      <c r="A41" s="7"/>
      <c r="AD41" s="2">
        <f>AD38</f>
        <v>7000</v>
      </c>
      <c r="AE41" s="2">
        <f>AE38</f>
        <v>112952.38095238095</v>
      </c>
      <c r="AF41">
        <f>$AF$38*X38/$AB$38</f>
        <v>73924.991593537241</v>
      </c>
      <c r="AG41">
        <f>$AF$38*Y38/$AB$38</f>
        <v>37541.992552904405</v>
      </c>
      <c r="AH41">
        <f>$AF$38*Z38/$AB$38</f>
        <v>29515.044211020173</v>
      </c>
      <c r="AI41">
        <f>$AF$38*AA38/$AB$38</f>
        <v>52288.047335041745</v>
      </c>
    </row>
    <row r="42" spans="1:43">
      <c r="A42" s="7"/>
    </row>
    <row r="43" spans="1:43">
      <c r="A43" s="7"/>
    </row>
    <row r="44" spans="1:43">
      <c r="A44" s="7"/>
    </row>
    <row r="45" spans="1:43">
      <c r="A45" s="7"/>
    </row>
    <row r="46" spans="1:43">
      <c r="A46" s="7"/>
    </row>
    <row r="47" spans="1:43">
      <c r="A47" s="7"/>
    </row>
    <row r="48" spans="1:43">
      <c r="A48" s="7"/>
    </row>
    <row r="49" spans="1:1">
      <c r="A49" s="7"/>
    </row>
    <row r="50" spans="1:1">
      <c r="A50" s="7"/>
    </row>
  </sheetData>
  <conditionalFormatting sqref="T25:T36">
    <cfRule type="expression" dxfId="13" priority="1">
      <formula>T25&lt;$S$18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60593-4206-4FC0-B9B3-6B039103AE4D}">
  <sheetPr codeName="Sheet2">
    <tabColor rgb="FFFF0000"/>
  </sheetPr>
  <dimension ref="A1:AZ50"/>
  <sheetViews>
    <sheetView topLeftCell="V13" zoomScaleNormal="100" workbookViewId="0">
      <selection activeCell="AD20" sqref="AD20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0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v>11.8</v>
      </c>
      <c r="AA25">
        <f t="shared" ref="AA25:AA36" si="5">LinearInterpolation(K25,$A$5:$A$19,$B$5:$B$19)</f>
        <v>4.8899999999999997</v>
      </c>
      <c r="AB25" s="10">
        <f t="shared" ref="AB25:AB36" si="6">X25</f>
        <v>4.5903504012688341</v>
      </c>
      <c r="AC25" s="11">
        <f t="shared" ref="AC25:AC36" si="7">LinearInterpolation(M25,$P$5:$P$11,$Q$5:$Q$11)</f>
        <v>9.1081081081081088</v>
      </c>
      <c r="AD25" s="11">
        <f>SUM(Z25:AC25)</f>
        <v>30.388458509376942</v>
      </c>
      <c r="AF25" s="5">
        <f t="shared" ref="AF25:AF36" si="8">P25</f>
        <v>7000</v>
      </c>
      <c r="AG25" s="5">
        <f t="shared" ref="AG25:AG36" si="9">LinearInterpolation(O25,$D$5:$D$9,$E$5:$E$9)</f>
        <v>50000</v>
      </c>
      <c r="AH25" s="5">
        <f>LinearInterpolation(AD25,$H$5:$H$10,$I$5:$I$10)</f>
        <v>190408.44275813704</v>
      </c>
      <c r="AI25" s="5">
        <f>SUM(AF25:AH25)</f>
        <v>247408.44275813704</v>
      </c>
      <c r="AJ25" s="5">
        <f>$AG$18*AI25/1000</f>
        <v>541.82448964032005</v>
      </c>
      <c r="AK25" s="5">
        <f>AJ25*365.25</f>
        <v>197901.39484112689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43.345959171225608</v>
      </c>
      <c r="AQ25" s="14">
        <f>AP25/6.29</f>
        <v>6.8912494707830856</v>
      </c>
      <c r="AR25" s="14">
        <f t="shared" ref="AR25:AR36" si="12">AK25/AN25/1000</f>
        <v>43.345959171225608</v>
      </c>
      <c r="AS25" s="14">
        <f t="shared" ref="AS25:AS36" si="13">AR25/6.29</f>
        <v>6.8912494707830856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1146771.7172957039</v>
      </c>
      <c r="P26" s="3">
        <f t="shared" ref="P26:P36" si="18">C26*$P$22</f>
        <v>7200</v>
      </c>
      <c r="Q26" s="3">
        <v>246028.28270429594</v>
      </c>
      <c r="R26" s="3">
        <f t="shared" ref="R26:R36" si="19">Q26-AI26</f>
        <v>0</v>
      </c>
      <c r="S26" s="19"/>
      <c r="T26" s="10">
        <f t="shared" ref="T26:T36" si="20">L26/24</f>
        <v>625</v>
      </c>
      <c r="U26" s="16">
        <v>3086.0958611163078</v>
      </c>
      <c r="V26" s="5">
        <f t="shared" ref="V26:V36" si="21">LinearInterpolation(T26/U26,$AE$6:$AE$11,$AF$6:$AF$11)*U26*U26</f>
        <v>1881.5011250592379</v>
      </c>
      <c r="W26" s="2">
        <f t="shared" ref="W26:W36" si="22">LinearInterpolation(T26/U26,$AE$6:$AE$11,$AC$6:$AC$11)</f>
        <v>78.262863536031233</v>
      </c>
      <c r="X26" s="10">
        <f t="shared" si="4"/>
        <v>4.2154858764557481</v>
      </c>
      <c r="Z26" s="9">
        <v>11.8</v>
      </c>
      <c r="AA26">
        <f t="shared" si="5"/>
        <v>5.01</v>
      </c>
      <c r="AB26" s="10">
        <f t="shared" si="6"/>
        <v>4.2154858764557481</v>
      </c>
      <c r="AC26" s="11">
        <f t="shared" si="7"/>
        <v>9.1081081081081088</v>
      </c>
      <c r="AD26" s="11">
        <f t="shared" ref="AD26:AD36" si="23">SUM(Z26:AC26)</f>
        <v>30.133593984563859</v>
      </c>
      <c r="AF26" s="5">
        <f t="shared" si="8"/>
        <v>7200</v>
      </c>
      <c r="AG26" s="5">
        <f t="shared" si="9"/>
        <v>50000</v>
      </c>
      <c r="AH26" s="5">
        <f t="shared" ref="AH26:AH36" si="24">LinearInterpolation(AD26,$H$5:$H$10,$I$5:$I$10)</f>
        <v>188828.28270429594</v>
      </c>
      <c r="AI26" s="5">
        <f t="shared" ref="AI26:AI36" si="25">SUM(AF26:AH26)</f>
        <v>246028.28270429594</v>
      </c>
      <c r="AJ26" s="5">
        <f t="shared" ref="AJ26:AJ36" si="26">$AG$18*AI26/1000</f>
        <v>538.80193912240804</v>
      </c>
      <c r="AK26" s="5">
        <f>AJ26*365.25+AK25</f>
        <v>394698.80310558644</v>
      </c>
      <c r="AL26" s="5"/>
      <c r="AM26">
        <f t="shared" si="10"/>
        <v>2021</v>
      </c>
      <c r="AN26" s="10">
        <f t="shared" ref="AN26:AN36" si="27">J26*0.00036525+AN25</f>
        <v>8.8025249999999993</v>
      </c>
      <c r="AP26" s="5">
        <f t="shared" si="11"/>
        <v>46.4484430277938</v>
      </c>
      <c r="AQ26" s="14">
        <f t="shared" ref="AQ26:AQ36" si="28">AP26/6.29</f>
        <v>7.3844901475029889</v>
      </c>
      <c r="AR26" s="14">
        <f t="shared" si="12"/>
        <v>44.839270903017763</v>
      </c>
      <c r="AS26" s="14">
        <f t="shared" si="13"/>
        <v>7.1286599209885155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1250913.2750208832</v>
      </c>
      <c r="P27" s="3">
        <f t="shared" si="18"/>
        <v>7400</v>
      </c>
      <c r="Q27" s="3">
        <v>241686.72497911679</v>
      </c>
      <c r="R27" s="3">
        <f t="shared" si="19"/>
        <v>0</v>
      </c>
      <c r="S27" s="19"/>
      <c r="T27" s="10">
        <f t="shared" si="20"/>
        <v>500</v>
      </c>
      <c r="U27" s="16">
        <v>2955.1311952574533</v>
      </c>
      <c r="V27" s="5">
        <f t="shared" si="21"/>
        <v>1881.8565993359873</v>
      </c>
      <c r="W27" s="2">
        <f t="shared" si="22"/>
        <v>78.496729511784963</v>
      </c>
      <c r="X27" s="10">
        <f>V27*T27/60/60*$S$14*10/(W27/100)/1000000*IF(V27&lt;$S$18,NA(),1)</f>
        <v>3.3629765659429873</v>
      </c>
      <c r="Y27" s="10"/>
      <c r="Z27" s="9">
        <v>11.8</v>
      </c>
      <c r="AA27">
        <f t="shared" si="5"/>
        <v>5.13</v>
      </c>
      <c r="AB27" s="10">
        <f t="shared" si="6"/>
        <v>3.3629765659429873</v>
      </c>
      <c r="AC27" s="11">
        <f t="shared" si="7"/>
        <v>9.1081081081081088</v>
      </c>
      <c r="AD27" s="11">
        <f t="shared" si="23"/>
        <v>29.401084674051095</v>
      </c>
      <c r="AF27" s="5">
        <f t="shared" si="8"/>
        <v>7400</v>
      </c>
      <c r="AG27" s="5">
        <f t="shared" si="9"/>
        <v>50000</v>
      </c>
      <c r="AH27" s="5">
        <f t="shared" si="24"/>
        <v>184286.72497911679</v>
      </c>
      <c r="AI27" s="5">
        <f t="shared" si="25"/>
        <v>241686.72497911679</v>
      </c>
      <c r="AJ27" s="5">
        <f t="shared" si="26"/>
        <v>529.29392770426568</v>
      </c>
      <c r="AK27" s="5">
        <f t="shared" ref="AK27:AK36" si="29">AJ27*365.25+AK26</f>
        <v>588023.41019956954</v>
      </c>
      <c r="AL27" s="5"/>
      <c r="AM27">
        <f t="shared" si="10"/>
        <v>2022</v>
      </c>
      <c r="AN27" s="10">
        <f t="shared" si="27"/>
        <v>12.710699999999999</v>
      </c>
      <c r="AP27" s="5">
        <f t="shared" si="11"/>
        <v>49.466722215351936</v>
      </c>
      <c r="AQ27" s="14">
        <f t="shared" si="28"/>
        <v>7.8643437544279706</v>
      </c>
      <c r="AR27" s="14">
        <f t="shared" si="12"/>
        <v>46.262079208821667</v>
      </c>
      <c r="AS27" s="14">
        <f t="shared" si="13"/>
        <v>7.3548615594311073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1242561.7172957042</v>
      </c>
      <c r="P28" s="3">
        <f t="shared" si="18"/>
        <v>7600</v>
      </c>
      <c r="Q28" s="3">
        <v>249838.28270429591</v>
      </c>
      <c r="R28" s="3">
        <f t="shared" si="19"/>
        <v>0</v>
      </c>
      <c r="S28" s="19"/>
      <c r="T28" s="10">
        <f t="shared" si="20"/>
        <v>625</v>
      </c>
      <c r="U28" s="16">
        <v>3086.0958611163078</v>
      </c>
      <c r="V28" s="5">
        <f t="shared" si="21"/>
        <v>1881.5011250592379</v>
      </c>
      <c r="W28" s="2">
        <f t="shared" si="22"/>
        <v>78.262863536031233</v>
      </c>
      <c r="X28" s="10">
        <f t="shared" ref="X28:X36" si="30">V28*T28/60/60*$S$14*10/(W28/100)/1000000*IF(V28&lt;$S$18,NA(),1)</f>
        <v>4.2154858764557481</v>
      </c>
      <c r="Y28" s="10"/>
      <c r="Z28" s="9">
        <v>11.8</v>
      </c>
      <c r="AA28">
        <f t="shared" si="5"/>
        <v>5.5600000000000005</v>
      </c>
      <c r="AB28" s="10">
        <f t="shared" si="6"/>
        <v>4.2154858764557481</v>
      </c>
      <c r="AC28" s="11">
        <f t="shared" si="7"/>
        <v>9.1081081081081088</v>
      </c>
      <c r="AD28" s="11">
        <f t="shared" si="23"/>
        <v>30.683593984563856</v>
      </c>
      <c r="AF28" s="5">
        <f t="shared" si="8"/>
        <v>7600</v>
      </c>
      <c r="AG28" s="5">
        <f t="shared" si="9"/>
        <v>50000</v>
      </c>
      <c r="AH28" s="5">
        <f t="shared" si="24"/>
        <v>192238.28270429591</v>
      </c>
      <c r="AI28" s="5">
        <f t="shared" si="25"/>
        <v>249838.28270429591</v>
      </c>
      <c r="AJ28" s="5">
        <f t="shared" si="26"/>
        <v>547.14583912240812</v>
      </c>
      <c r="AK28" s="5">
        <f t="shared" si="29"/>
        <v>787868.42793902906</v>
      </c>
      <c r="AL28" s="5"/>
      <c r="AM28">
        <f t="shared" si="10"/>
        <v>2023</v>
      </c>
      <c r="AN28" s="10">
        <f t="shared" si="27"/>
        <v>16.290150000000001</v>
      </c>
      <c r="AP28" s="5">
        <f t="shared" si="11"/>
        <v>55.831208073715111</v>
      </c>
      <c r="AQ28" s="14">
        <f t="shared" si="28"/>
        <v>8.8761857032933396</v>
      </c>
      <c r="AR28" s="14">
        <f t="shared" si="12"/>
        <v>48.364712905591972</v>
      </c>
      <c r="AS28" s="14">
        <f t="shared" si="13"/>
        <v>7.6891435461990412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1336424.7483636027</v>
      </c>
      <c r="P29" s="3">
        <f t="shared" si="18"/>
        <v>7800</v>
      </c>
      <c r="Q29" s="3">
        <v>255775.25163639733</v>
      </c>
      <c r="R29" s="3">
        <f t="shared" si="19"/>
        <v>0</v>
      </c>
      <c r="S29" s="19"/>
      <c r="T29" s="10">
        <f t="shared" si="20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2"/>
        <v>75.103488072919887</v>
      </c>
      <c r="X29" s="10">
        <f t="shared" si="30"/>
        <v>4.980803446149527</v>
      </c>
      <c r="Y29" s="10"/>
      <c r="Z29" s="9">
        <v>11.8</v>
      </c>
      <c r="AA29">
        <f t="shared" si="5"/>
        <v>5.72</v>
      </c>
      <c r="AB29" s="10">
        <f t="shared" si="6"/>
        <v>4.980803446149527</v>
      </c>
      <c r="AC29" s="11">
        <f t="shared" si="7"/>
        <v>9.1081081081081088</v>
      </c>
      <c r="AD29" s="11">
        <f t="shared" si="23"/>
        <v>31.608911554257634</v>
      </c>
      <c r="AF29" s="5">
        <f t="shared" si="8"/>
        <v>7800</v>
      </c>
      <c r="AG29" s="5">
        <f t="shared" si="9"/>
        <v>50000</v>
      </c>
      <c r="AH29" s="5">
        <f t="shared" si="24"/>
        <v>197975.25163639733</v>
      </c>
      <c r="AI29" s="5">
        <f t="shared" si="25"/>
        <v>255775.25163639733</v>
      </c>
      <c r="AJ29" s="5">
        <f t="shared" si="26"/>
        <v>560.14780108371019</v>
      </c>
      <c r="AK29" s="5">
        <f t="shared" si="29"/>
        <v>992462.41228485422</v>
      </c>
      <c r="AL29" s="5"/>
      <c r="AM29">
        <f t="shared" si="10"/>
        <v>2024</v>
      </c>
      <c r="AN29" s="10">
        <f t="shared" si="27"/>
        <v>19.906124999999999</v>
      </c>
      <c r="AP29" s="5">
        <f t="shared" si="11"/>
        <v>56.58058596805153</v>
      </c>
      <c r="AQ29" s="14">
        <f t="shared" si="28"/>
        <v>8.9953236833150285</v>
      </c>
      <c r="AR29" s="14">
        <f t="shared" si="12"/>
        <v>49.857137553635091</v>
      </c>
      <c r="AS29" s="14">
        <f t="shared" si="13"/>
        <v>7.926412965601763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1330028.5198999885</v>
      </c>
      <c r="P30" s="3">
        <f t="shared" si="18"/>
        <v>8000</v>
      </c>
      <c r="Q30" s="3">
        <v>261971.48010001139</v>
      </c>
      <c r="R30" s="3">
        <f t="shared" si="19"/>
        <v>0</v>
      </c>
      <c r="S30" s="19"/>
      <c r="T30" s="10">
        <f t="shared" si="20"/>
        <v>750</v>
      </c>
      <c r="U30" s="16">
        <v>3316.6550762204715</v>
      </c>
      <c r="V30" s="5">
        <f t="shared" si="21"/>
        <v>1947.711974650548</v>
      </c>
      <c r="W30" s="2">
        <f t="shared" si="22"/>
        <v>74.004282858987835</v>
      </c>
      <c r="X30" s="10">
        <f t="shared" si="30"/>
        <v>5.5379370693130809</v>
      </c>
      <c r="Y30" s="10"/>
      <c r="Z30" s="9">
        <v>11.8</v>
      </c>
      <c r="AA30">
        <f t="shared" si="5"/>
        <v>6.13</v>
      </c>
      <c r="AB30" s="10">
        <f t="shared" si="6"/>
        <v>5.5379370693130809</v>
      </c>
      <c r="AC30" s="11">
        <f t="shared" si="7"/>
        <v>9.1081081081081088</v>
      </c>
      <c r="AD30" s="11">
        <f t="shared" si="23"/>
        <v>32.576045177421193</v>
      </c>
      <c r="AF30" s="5">
        <f t="shared" si="8"/>
        <v>8000</v>
      </c>
      <c r="AG30" s="5">
        <f t="shared" si="9"/>
        <v>50000</v>
      </c>
      <c r="AH30" s="5">
        <f t="shared" si="24"/>
        <v>203971.48010001139</v>
      </c>
      <c r="AI30" s="5">
        <f t="shared" si="25"/>
        <v>261971.48010001139</v>
      </c>
      <c r="AJ30" s="5">
        <f t="shared" si="26"/>
        <v>573.71754141902488</v>
      </c>
      <c r="AK30" s="5">
        <f t="shared" si="29"/>
        <v>1202012.744288153</v>
      </c>
      <c r="AL30" s="5"/>
      <c r="AM30">
        <f t="shared" si="10"/>
        <v>2024</v>
      </c>
      <c r="AN30" s="10">
        <f t="shared" si="27"/>
        <v>23.558624999999999</v>
      </c>
      <c r="AP30" s="5">
        <f t="shared" si="11"/>
        <v>57.371754141902493</v>
      </c>
      <c r="AQ30" s="14">
        <f t="shared" si="28"/>
        <v>9.1211055869479321</v>
      </c>
      <c r="AR30" s="14">
        <f t="shared" si="12"/>
        <v>51.02219438902538</v>
      </c>
      <c r="AS30" s="14">
        <f t="shared" si="13"/>
        <v>8.1116366278259751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1428884.5198999885</v>
      </c>
      <c r="P31" s="3">
        <f t="shared" si="18"/>
        <v>8200</v>
      </c>
      <c r="Q31" s="3">
        <v>262915.48010001139</v>
      </c>
      <c r="R31" s="3">
        <f t="shared" si="19"/>
        <v>0</v>
      </c>
      <c r="S31" s="19"/>
      <c r="T31" s="10">
        <f t="shared" si="20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2"/>
        <v>74.004282858987835</v>
      </c>
      <c r="X31" s="10">
        <f t="shared" si="30"/>
        <v>5.5379370693130809</v>
      </c>
      <c r="Y31" s="10"/>
      <c r="Z31" s="9">
        <v>11.8</v>
      </c>
      <c r="AA31">
        <f t="shared" si="5"/>
        <v>6.25</v>
      </c>
      <c r="AB31" s="10">
        <f t="shared" si="6"/>
        <v>5.5379370693130809</v>
      </c>
      <c r="AC31" s="11">
        <f t="shared" si="7"/>
        <v>9.1081081081081088</v>
      </c>
      <c r="AD31" s="11">
        <f t="shared" si="23"/>
        <v>32.69604517742119</v>
      </c>
      <c r="AF31" s="5">
        <f t="shared" si="8"/>
        <v>8200</v>
      </c>
      <c r="AG31" s="5">
        <f t="shared" si="9"/>
        <v>50000</v>
      </c>
      <c r="AH31" s="5">
        <f t="shared" si="24"/>
        <v>204715.48010001139</v>
      </c>
      <c r="AI31" s="5">
        <f t="shared" si="25"/>
        <v>262915.48010001139</v>
      </c>
      <c r="AJ31" s="5">
        <f t="shared" si="26"/>
        <v>575.78490141902489</v>
      </c>
      <c r="AK31" s="5">
        <f t="shared" si="29"/>
        <v>1412318.1795314518</v>
      </c>
      <c r="AL31" s="5"/>
      <c r="AM31">
        <f t="shared" si="10"/>
        <v>2026</v>
      </c>
      <c r="AN31" s="10">
        <f t="shared" si="27"/>
        <v>27.6129</v>
      </c>
      <c r="AP31" s="5">
        <f t="shared" si="11"/>
        <v>51.872513641353599</v>
      </c>
      <c r="AQ31" s="14">
        <f t="shared" si="28"/>
        <v>8.2468225184981883</v>
      </c>
      <c r="AR31" s="14">
        <f t="shared" si="12"/>
        <v>51.14704285067674</v>
      </c>
      <c r="AS31" s="14">
        <f t="shared" si="13"/>
        <v>8.1314853498691164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1813760.3329870254</v>
      </c>
      <c r="P32" s="3">
        <f t="shared" si="18"/>
        <v>9000</v>
      </c>
      <c r="Q32" s="3">
        <v>277239.66701297474</v>
      </c>
      <c r="R32" s="3">
        <f t="shared" si="19"/>
        <v>0</v>
      </c>
      <c r="S32" s="19"/>
      <c r="T32" s="10">
        <f t="shared" si="20"/>
        <v>833.33333333333337</v>
      </c>
      <c r="U32" s="16">
        <v>3685.6717811091703</v>
      </c>
      <c r="V32" s="5">
        <f t="shared" si="21"/>
        <v>2405.6075059987475</v>
      </c>
      <c r="W32" s="2">
        <f t="shared" si="22"/>
        <v>74.010141431302316</v>
      </c>
      <c r="X32" s="10">
        <f t="shared" si="30"/>
        <v>7.5992575391458876</v>
      </c>
      <c r="Y32" s="10"/>
      <c r="Z32" s="9">
        <v>11.8</v>
      </c>
      <c r="AA32">
        <f t="shared" si="5"/>
        <v>6.37</v>
      </c>
      <c r="AB32" s="10">
        <f t="shared" si="6"/>
        <v>7.5992575391458876</v>
      </c>
      <c r="AC32" s="11">
        <f t="shared" si="7"/>
        <v>9.1081081081081088</v>
      </c>
      <c r="AD32" s="11">
        <f t="shared" si="23"/>
        <v>34.877365647253995</v>
      </c>
      <c r="AF32" s="5">
        <f t="shared" si="8"/>
        <v>9000</v>
      </c>
      <c r="AG32" s="5">
        <f t="shared" si="9"/>
        <v>50000</v>
      </c>
      <c r="AH32" s="5">
        <f t="shared" si="24"/>
        <v>218239.66701297477</v>
      </c>
      <c r="AI32" s="5">
        <f t="shared" si="25"/>
        <v>277239.66701297474</v>
      </c>
      <c r="AJ32" s="5">
        <f t="shared" si="26"/>
        <v>607.15487075841463</v>
      </c>
      <c r="AK32" s="5">
        <f t="shared" si="29"/>
        <v>1634081.4960759627</v>
      </c>
      <c r="AL32" s="5"/>
      <c r="AM32">
        <f t="shared" si="10"/>
        <v>2027</v>
      </c>
      <c r="AN32" s="10">
        <f t="shared" si="27"/>
        <v>31.448025000000001</v>
      </c>
      <c r="AP32" s="5">
        <f t="shared" si="11"/>
        <v>57.824273405563297</v>
      </c>
      <c r="AQ32" s="14">
        <f t="shared" si="28"/>
        <v>9.1930482361785852</v>
      </c>
      <c r="AR32" s="14">
        <f t="shared" si="12"/>
        <v>51.96133925980925</v>
      </c>
      <c r="AS32" s="14">
        <f t="shared" si="13"/>
        <v>8.2609442384434413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837809.71729570406</v>
      </c>
      <c r="P33" s="3">
        <f t="shared" si="18"/>
        <v>7000</v>
      </c>
      <c r="Q33" s="3">
        <v>255190.28270429594</v>
      </c>
      <c r="R33" s="3">
        <f t="shared" si="19"/>
        <v>0</v>
      </c>
      <c r="S33" s="19"/>
      <c r="T33" s="10">
        <f t="shared" si="20"/>
        <v>625</v>
      </c>
      <c r="U33" s="16">
        <v>3086.0958611163078</v>
      </c>
      <c r="V33" s="5">
        <f t="shared" si="21"/>
        <v>1881.5011250592379</v>
      </c>
      <c r="W33" s="2">
        <f t="shared" si="22"/>
        <v>78.262863536031233</v>
      </c>
      <c r="X33" s="10">
        <f t="shared" si="30"/>
        <v>4.2154858764557481</v>
      </c>
      <c r="Y33" s="10"/>
      <c r="Z33" s="9">
        <v>11.8</v>
      </c>
      <c r="AA33">
        <f t="shared" si="5"/>
        <v>6.5200000000000005</v>
      </c>
      <c r="AB33" s="10">
        <f t="shared" si="6"/>
        <v>4.2154858764557481</v>
      </c>
      <c r="AC33" s="11">
        <f t="shared" si="7"/>
        <v>9.1081081081081088</v>
      </c>
      <c r="AD33" s="11">
        <f t="shared" si="23"/>
        <v>31.643593984563857</v>
      </c>
      <c r="AF33" s="5">
        <f t="shared" si="8"/>
        <v>7000</v>
      </c>
      <c r="AG33" s="5">
        <f t="shared" si="9"/>
        <v>50000</v>
      </c>
      <c r="AH33" s="5">
        <f t="shared" si="24"/>
        <v>198190.28270429594</v>
      </c>
      <c r="AI33" s="5">
        <f t="shared" si="25"/>
        <v>255190.28270429594</v>
      </c>
      <c r="AJ33" s="5">
        <f t="shared" si="26"/>
        <v>558.86671912240809</v>
      </c>
      <c r="AK33" s="5">
        <f t="shared" si="29"/>
        <v>1838207.5652354222</v>
      </c>
      <c r="AL33" s="5"/>
      <c r="AM33">
        <f t="shared" si="10"/>
        <v>2028</v>
      </c>
      <c r="AN33" s="10">
        <f t="shared" si="27"/>
        <v>34.917900000000003</v>
      </c>
      <c r="AP33" s="5">
        <f t="shared" si="11"/>
        <v>58.828075697095585</v>
      </c>
      <c r="AQ33" s="14">
        <f t="shared" si="28"/>
        <v>9.3526352459611424</v>
      </c>
      <c r="AR33" s="14">
        <f t="shared" si="12"/>
        <v>52.643703236317819</v>
      </c>
      <c r="AS33" s="14">
        <f t="shared" si="13"/>
        <v>8.3694281774750117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5000</v>
      </c>
      <c r="Q34" s="3">
        <v>212133.48010001139</v>
      </c>
      <c r="R34" s="3">
        <f t="shared" si="19"/>
        <v>0</v>
      </c>
      <c r="S34" s="19"/>
      <c r="T34" s="10">
        <f t="shared" si="20"/>
        <v>750</v>
      </c>
      <c r="U34" s="16">
        <v>3316.6550762204715</v>
      </c>
      <c r="V34" s="5">
        <f t="shared" si="21"/>
        <v>1947.711974650548</v>
      </c>
      <c r="W34" s="2">
        <f t="shared" si="22"/>
        <v>74.004282858987835</v>
      </c>
      <c r="X34" s="10">
        <f t="shared" si="30"/>
        <v>5.5379370693130809</v>
      </c>
      <c r="Y34" s="10"/>
      <c r="Z34" s="9">
        <v>11.8</v>
      </c>
      <c r="AA34">
        <f t="shared" si="5"/>
        <v>6.64</v>
      </c>
      <c r="AB34" s="10">
        <f t="shared" si="6"/>
        <v>5.5379370693130809</v>
      </c>
      <c r="AC34" s="11">
        <f t="shared" si="7"/>
        <v>9.1081081081081088</v>
      </c>
      <c r="AD34" s="11">
        <f t="shared" si="23"/>
        <v>33.086045177421191</v>
      </c>
      <c r="AF34" s="5">
        <f t="shared" si="8"/>
        <v>5000</v>
      </c>
      <c r="AG34" s="5">
        <f t="shared" si="9"/>
        <v>0</v>
      </c>
      <c r="AH34" s="5">
        <f t="shared" si="24"/>
        <v>207133.48010001139</v>
      </c>
      <c r="AI34" s="5">
        <f t="shared" si="25"/>
        <v>212133.48010001139</v>
      </c>
      <c r="AJ34" s="5">
        <f t="shared" si="26"/>
        <v>464.57232141902495</v>
      </c>
      <c r="AK34" s="5">
        <f t="shared" si="29"/>
        <v>2007892.605633721</v>
      </c>
      <c r="AL34" s="5"/>
      <c r="AM34">
        <f t="shared" si="10"/>
        <v>2029</v>
      </c>
      <c r="AN34" s="10">
        <f t="shared" si="27"/>
        <v>37.657275000000006</v>
      </c>
      <c r="AP34" s="5">
        <f t="shared" si="11"/>
        <v>61.942976189203328</v>
      </c>
      <c r="AQ34" s="14">
        <f t="shared" si="28"/>
        <v>9.8478499505887651</v>
      </c>
      <c r="AR34" s="14">
        <f t="shared" si="12"/>
        <v>53.320177990407451</v>
      </c>
      <c r="AS34" s="14">
        <f t="shared" si="13"/>
        <v>8.4769758331331406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4000</v>
      </c>
      <c r="Q35" s="3">
        <v>208671.25163639733</v>
      </c>
      <c r="R35" s="3">
        <f t="shared" si="19"/>
        <v>0</v>
      </c>
      <c r="S35" s="19"/>
      <c r="T35" s="10">
        <f t="shared" si="20"/>
        <v>708.33333333333337</v>
      </c>
      <c r="U35" s="16">
        <v>3214.1196729831181</v>
      </c>
      <c r="V35" s="5">
        <f t="shared" si="21"/>
        <v>1882.3611843371705</v>
      </c>
      <c r="W35" s="2">
        <f t="shared" si="22"/>
        <v>75.103488072919887</v>
      </c>
      <c r="X35" s="10">
        <f t="shared" si="30"/>
        <v>4.980803446149527</v>
      </c>
      <c r="Y35" s="10"/>
      <c r="Z35" s="9">
        <v>11.8</v>
      </c>
      <c r="AA35">
        <f t="shared" si="5"/>
        <v>6.8</v>
      </c>
      <c r="AB35" s="10">
        <f t="shared" si="6"/>
        <v>4.980803446149527</v>
      </c>
      <c r="AC35" s="11">
        <f t="shared" si="7"/>
        <v>9.1081081081081088</v>
      </c>
      <c r="AD35" s="11">
        <f t="shared" si="23"/>
        <v>32.688911554257636</v>
      </c>
      <c r="AF35" s="5">
        <f t="shared" si="8"/>
        <v>4000</v>
      </c>
      <c r="AG35" s="5">
        <f t="shared" si="9"/>
        <v>0</v>
      </c>
      <c r="AH35" s="5">
        <f t="shared" si="24"/>
        <v>204671.25163639733</v>
      </c>
      <c r="AI35" s="5">
        <f t="shared" si="25"/>
        <v>208671.25163639733</v>
      </c>
      <c r="AJ35" s="5">
        <f t="shared" si="26"/>
        <v>456.99004108371014</v>
      </c>
      <c r="AK35" s="5">
        <f t="shared" si="29"/>
        <v>2174808.218139546</v>
      </c>
      <c r="AL35" s="5"/>
      <c r="AM35">
        <f t="shared" si="10"/>
        <v>2030</v>
      </c>
      <c r="AN35" s="10">
        <f t="shared" si="27"/>
        <v>40.579275000000003</v>
      </c>
      <c r="AP35" s="5">
        <f t="shared" si="11"/>
        <v>57.123755135463767</v>
      </c>
      <c r="AQ35" s="14">
        <f t="shared" si="28"/>
        <v>9.0816780819497254</v>
      </c>
      <c r="AR35" s="14">
        <f t="shared" si="12"/>
        <v>53.594062933345796</v>
      </c>
      <c r="AS35" s="14">
        <f t="shared" si="13"/>
        <v>8.5205187493395549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337515.71729570412</v>
      </c>
      <c r="P36" s="3">
        <f t="shared" si="18"/>
        <v>6000</v>
      </c>
      <c r="Q36" s="3">
        <v>256484.28270429588</v>
      </c>
      <c r="R36" s="3">
        <f t="shared" si="19"/>
        <v>0</v>
      </c>
      <c r="S36" s="19"/>
      <c r="T36" s="10">
        <f t="shared" si="20"/>
        <v>625</v>
      </c>
      <c r="U36" s="16">
        <v>3086.0958611163078</v>
      </c>
      <c r="V36" s="5">
        <f t="shared" si="21"/>
        <v>1881.5011250592379</v>
      </c>
      <c r="W36" s="2">
        <f t="shared" si="22"/>
        <v>78.262863536031233</v>
      </c>
      <c r="X36" s="10">
        <f t="shared" si="30"/>
        <v>4.2154858764557481</v>
      </c>
      <c r="Y36" s="10"/>
      <c r="Z36" s="9">
        <v>11.8</v>
      </c>
      <c r="AA36">
        <f t="shared" si="5"/>
        <v>6.89</v>
      </c>
      <c r="AB36" s="10">
        <f t="shared" si="6"/>
        <v>4.2154858764557481</v>
      </c>
      <c r="AC36" s="11">
        <f t="shared" si="7"/>
        <v>9.1081081081081088</v>
      </c>
      <c r="AD36" s="11">
        <f t="shared" si="23"/>
        <v>32.013593984563855</v>
      </c>
      <c r="AF36" s="5">
        <f t="shared" si="8"/>
        <v>6000</v>
      </c>
      <c r="AG36" s="5">
        <f t="shared" si="9"/>
        <v>50000</v>
      </c>
      <c r="AH36" s="5">
        <f t="shared" si="24"/>
        <v>200484.28270429588</v>
      </c>
      <c r="AI36" s="5">
        <f t="shared" si="25"/>
        <v>256484.28270429588</v>
      </c>
      <c r="AJ36" s="5">
        <f t="shared" si="26"/>
        <v>561.70057912240793</v>
      </c>
      <c r="AK36" s="5">
        <f t="shared" si="29"/>
        <v>2379969.3546640053</v>
      </c>
      <c r="AL36" s="5"/>
      <c r="AM36">
        <f t="shared" si="10"/>
        <v>2031</v>
      </c>
      <c r="AN36" s="10">
        <f t="shared" si="27"/>
        <v>43.136025000000004</v>
      </c>
      <c r="AP36" s="5">
        <f t="shared" si="11"/>
        <v>80.242939874629712</v>
      </c>
      <c r="AQ36" s="14">
        <f t="shared" si="28"/>
        <v>12.757224145410129</v>
      </c>
      <c r="AR36" s="14">
        <f t="shared" si="12"/>
        <v>55.173589932405804</v>
      </c>
      <c r="AS36" s="14">
        <f t="shared" si="13"/>
        <v>8.7716359193013993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5.9924999999999997</v>
      </c>
      <c r="AB38" s="11">
        <f t="shared" si="31"/>
        <v>4.9158288427015835</v>
      </c>
      <c r="AC38" s="11">
        <f t="shared" si="31"/>
        <v>9.1081081081081106</v>
      </c>
      <c r="AD38" s="11">
        <f t="shared" si="31"/>
        <v>31.816436950809688</v>
      </c>
      <c r="AF38" s="2">
        <f t="shared" ref="AF38:AI38" si="32">AVERAGE(AF25:AF36)</f>
        <v>7016.666666666667</v>
      </c>
      <c r="AG38" s="2">
        <f t="shared" si="32"/>
        <v>41666.666666666664</v>
      </c>
      <c r="AH38" s="2">
        <f t="shared" si="32"/>
        <v>199261.90909502015</v>
      </c>
      <c r="AI38" s="2">
        <f t="shared" si="32"/>
        <v>247945.24242835349</v>
      </c>
    </row>
    <row r="39" spans="1:45">
      <c r="A39" s="7"/>
    </row>
    <row r="40" spans="1:45">
      <c r="A40" s="7"/>
      <c r="AF40" t="str">
        <f>AF23</f>
        <v>Flare</v>
      </c>
      <c r="AG40" t="str">
        <f>AG23</f>
        <v>Gas export compressor</v>
      </c>
      <c r="AH40" t="str">
        <f>Z23</f>
        <v>Base production load</v>
      </c>
      <c r="AI40" t="str">
        <f>AA23</f>
        <v>Gas injection compressor</v>
      </c>
      <c r="AJ40" t="str">
        <f>AB23</f>
        <v>produced water reinjection pump</v>
      </c>
      <c r="AK40" t="str">
        <f>AC23</f>
        <v>Seawater injection pump</v>
      </c>
    </row>
    <row r="41" spans="1:45">
      <c r="A41" s="7"/>
      <c r="AF41" s="2">
        <f>AF38</f>
        <v>7016.666666666667</v>
      </c>
      <c r="AG41" s="2">
        <f>AG38</f>
        <v>41666.666666666664</v>
      </c>
      <c r="AH41">
        <f t="shared" ref="AH41:AK41" si="33">$AH$38*Z38/$AD$38</f>
        <v>73901.754962583902</v>
      </c>
      <c r="AI41">
        <f t="shared" si="33"/>
        <v>37530.192085871524</v>
      </c>
      <c r="AJ41">
        <f t="shared" si="33"/>
        <v>30787.150726384309</v>
      </c>
      <c r="AK41">
        <f t="shared" si="33"/>
        <v>57042.811320180452</v>
      </c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12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41C0F-0AEB-4470-B9C5-AA52A8EC380E}">
  <sheetPr codeName="Sheet3">
    <tabColor rgb="FFFF0000"/>
  </sheetPr>
  <dimension ref="A1:AZ50"/>
  <sheetViews>
    <sheetView topLeftCell="R16" zoomScaleNormal="100" workbookViewId="0">
      <selection activeCell="AI38" sqref="Z38:AI38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0.02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919622.64293654892</v>
      </c>
      <c r="P25" s="3">
        <f>C25*$P$22</f>
        <v>70000</v>
      </c>
      <c r="Q25" s="3">
        <v>310377.35706345103</v>
      </c>
      <c r="R25" s="3">
        <f>Q25-AI25</f>
        <v>0</v>
      </c>
      <c r="S25" s="19"/>
      <c r="T25" s="10">
        <f>L25/24</f>
        <v>666.66666666666663</v>
      </c>
      <c r="U25" s="16">
        <v>3147.6086022382651</v>
      </c>
      <c r="V25" s="5">
        <f>LinearInterpolation(T25/U25,$AE$6:$AE$11,$AF$6:$AF$11)*U25*U25</f>
        <v>1881.4280535805235</v>
      </c>
      <c r="W25" s="2">
        <f>LinearInterpolation(T25/U25,$AE$6:$AE$11,$AC$6:$AC$11)</f>
        <v>76.743925431741687</v>
      </c>
      <c r="X25" s="10">
        <f t="shared" ref="X25:X26" si="4">V25*T25/60/60*$S$14*10/(W25/100)/1000000*IF(V25&lt;$S$18,NA(),1)</f>
        <v>4.5853365795452854</v>
      </c>
      <c r="Z25" s="9">
        <v>11.8</v>
      </c>
      <c r="AA25">
        <f t="shared" ref="AA25:AA36" si="5">LinearInterpolation(K25,$A$5:$A$19,$B$5:$B$19)</f>
        <v>4.8899999999999997</v>
      </c>
      <c r="AB25" s="10">
        <f t="shared" ref="AB25:AB36" si="6">X25</f>
        <v>4.5853365795452854</v>
      </c>
      <c r="AC25" s="11">
        <f t="shared" ref="AC25:AC36" si="7">LinearInterpolation(M25,$P$5:$P$11,$Q$5:$Q$11)</f>
        <v>9.1081081081081088</v>
      </c>
      <c r="AD25" s="11">
        <f>SUM(Z25:AC25)</f>
        <v>30.383444687653395</v>
      </c>
      <c r="AF25" s="5">
        <f t="shared" ref="AF25:AF36" si="8">P25</f>
        <v>70000</v>
      </c>
      <c r="AG25" s="5">
        <f t="shared" ref="AG25:AG36" si="9">LinearInterpolation(O25,$D$5:$D$9,$E$5:$E$9)</f>
        <v>50000</v>
      </c>
      <c r="AH25" s="5">
        <f>LinearInterpolation(AD25,$H$5:$H$10,$I$5:$I$10)</f>
        <v>190377.35706345103</v>
      </c>
      <c r="AI25" s="5">
        <f>SUM(AF25:AH25)</f>
        <v>310377.35706345103</v>
      </c>
      <c r="AJ25" s="5">
        <f>$AG$18*AI25/1000</f>
        <v>679.72641196895779</v>
      </c>
      <c r="AK25" s="5">
        <f>AJ25*365.25</f>
        <v>248270.07197166182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54.37811295751662</v>
      </c>
      <c r="AQ25" s="14">
        <f>AP25/6.29</f>
        <v>8.6451689916560603</v>
      </c>
      <c r="AR25" s="14">
        <f t="shared" ref="AR25:AR36" si="12">AK25/AN25/1000</f>
        <v>54.37811295751662</v>
      </c>
      <c r="AS25" s="14">
        <f t="shared" ref="AS25:AS36" si="13">AR25/6.29</f>
        <v>8.6451689916560603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1017175.5638693133</v>
      </c>
      <c r="P26" s="3">
        <f t="shared" ref="P26:P36" si="18">C26*$P$22</f>
        <v>72000</v>
      </c>
      <c r="Q26" s="3">
        <v>310824.43613068666</v>
      </c>
      <c r="R26" s="3">
        <f t="shared" ref="R26:R36" si="19">Q26-AI26</f>
        <v>0</v>
      </c>
      <c r="S26" s="19"/>
      <c r="T26" s="10">
        <f t="shared" ref="T26:T36" si="20">L26/24</f>
        <v>625</v>
      </c>
      <c r="U26" s="16">
        <v>3085.9079742213207</v>
      </c>
      <c r="V26" s="5">
        <f t="shared" ref="V26:V36" si="21">LinearInterpolation(T26/U26,$AE$6:$AE$11,$AF$6:$AF$11)*U26*U26</f>
        <v>1881.1954600892386</v>
      </c>
      <c r="W26" s="2">
        <f t="shared" ref="W26:W36" si="22">LinearInterpolation(T26/U26,$AE$6:$AE$11,$AC$6:$AC$11)</f>
        <v>78.261667284028618</v>
      </c>
      <c r="X26" s="10">
        <f t="shared" si="4"/>
        <v>4.2148654613574852</v>
      </c>
      <c r="Z26" s="9">
        <v>11.8</v>
      </c>
      <c r="AA26">
        <f t="shared" si="5"/>
        <v>5.01</v>
      </c>
      <c r="AB26" s="10">
        <f t="shared" si="6"/>
        <v>4.2148654613574852</v>
      </c>
      <c r="AC26" s="11">
        <f t="shared" si="7"/>
        <v>9.1081081081081088</v>
      </c>
      <c r="AD26" s="11">
        <f t="shared" ref="AD26:AD36" si="23">SUM(Z26:AC26)</f>
        <v>30.132973569465594</v>
      </c>
      <c r="AF26" s="5">
        <f t="shared" si="8"/>
        <v>72000</v>
      </c>
      <c r="AG26" s="5">
        <f t="shared" si="9"/>
        <v>50000</v>
      </c>
      <c r="AH26" s="5">
        <f t="shared" ref="AH26:AH36" si="24">LinearInterpolation(AD26,$H$5:$H$10,$I$5:$I$10)</f>
        <v>188824.43613068669</v>
      </c>
      <c r="AI26" s="5">
        <f t="shared" ref="AI26:AI36" si="25">SUM(AF26:AH26)</f>
        <v>310824.43613068666</v>
      </c>
      <c r="AJ26" s="5">
        <f t="shared" ref="AJ26:AJ36" si="26">$AG$18*AI26/1000</f>
        <v>680.70551512620375</v>
      </c>
      <c r="AK26" s="5">
        <f>AJ26*365.25+AK25</f>
        <v>496897.76137150778</v>
      </c>
      <c r="AL26" s="5"/>
      <c r="AM26">
        <f t="shared" si="10"/>
        <v>2021</v>
      </c>
      <c r="AN26" s="10">
        <f t="shared" ref="AN26:AN36" si="27">J26*0.00036525+AN25</f>
        <v>8.8025249999999993</v>
      </c>
      <c r="AP26" s="5">
        <f t="shared" si="11"/>
        <v>58.681509924672739</v>
      </c>
      <c r="AQ26" s="14">
        <f t="shared" ref="AQ26:AQ36" si="28">AP26/6.29</f>
        <v>9.3293338512993227</v>
      </c>
      <c r="AR26" s="14">
        <f t="shared" si="12"/>
        <v>56.44945755581584</v>
      </c>
      <c r="AS26" s="14">
        <f t="shared" si="13"/>
        <v>8.9744765589532332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1117721.0676155915</v>
      </c>
      <c r="P27" s="3">
        <f t="shared" si="18"/>
        <v>74000</v>
      </c>
      <c r="Q27" s="3">
        <v>308278.93238440866</v>
      </c>
      <c r="R27" s="3">
        <f t="shared" si="19"/>
        <v>0</v>
      </c>
      <c r="S27" s="19"/>
      <c r="T27" s="10">
        <f t="shared" si="20"/>
        <v>500</v>
      </c>
      <c r="U27" s="16">
        <v>2954.6944516043523</v>
      </c>
      <c r="V27" s="5">
        <f t="shared" si="21"/>
        <v>1881.211715686436</v>
      </c>
      <c r="W27" s="2">
        <f t="shared" si="22"/>
        <v>78.49916795069268</v>
      </c>
      <c r="X27" s="10">
        <f>V27*T27/60/60*$S$14*10/(W27/100)/1000000*IF(V27&lt;$S$18,NA(),1)</f>
        <v>3.3617196958287678</v>
      </c>
      <c r="Y27" s="10"/>
      <c r="Z27" s="9">
        <v>11.8</v>
      </c>
      <c r="AA27">
        <f t="shared" si="5"/>
        <v>5.13</v>
      </c>
      <c r="AB27" s="10">
        <f t="shared" si="6"/>
        <v>3.3617196958287678</v>
      </c>
      <c r="AC27" s="11">
        <f t="shared" si="7"/>
        <v>9.1081081081081088</v>
      </c>
      <c r="AD27" s="11">
        <f t="shared" si="23"/>
        <v>29.399827803936876</v>
      </c>
      <c r="AF27" s="5">
        <f t="shared" si="8"/>
        <v>74000</v>
      </c>
      <c r="AG27" s="5">
        <f t="shared" si="9"/>
        <v>50000</v>
      </c>
      <c r="AH27" s="5">
        <f t="shared" si="24"/>
        <v>184278.93238440863</v>
      </c>
      <c r="AI27" s="5">
        <f t="shared" si="25"/>
        <v>308278.93238440866</v>
      </c>
      <c r="AJ27" s="5">
        <f t="shared" si="26"/>
        <v>675.13086192185494</v>
      </c>
      <c r="AK27" s="5">
        <f t="shared" ref="AK27:AK36" si="29">AJ27*365.25+AK26</f>
        <v>743489.30868846527</v>
      </c>
      <c r="AL27" s="5"/>
      <c r="AM27">
        <f t="shared" si="10"/>
        <v>2022</v>
      </c>
      <c r="AN27" s="10">
        <f t="shared" si="27"/>
        <v>12.710699999999999</v>
      </c>
      <c r="AP27" s="5">
        <f t="shared" si="11"/>
        <v>63.096342235687374</v>
      </c>
      <c r="AQ27" s="14">
        <f t="shared" si="28"/>
        <v>10.031214981826292</v>
      </c>
      <c r="AR27" s="14">
        <f t="shared" si="12"/>
        <v>58.493183592443003</v>
      </c>
      <c r="AS27" s="14">
        <f t="shared" si="13"/>
        <v>9.2993932579400642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1105765.5638693133</v>
      </c>
      <c r="P28" s="3">
        <f t="shared" si="18"/>
        <v>76000</v>
      </c>
      <c r="Q28" s="3">
        <v>318234.43613068666</v>
      </c>
      <c r="R28" s="3">
        <f t="shared" si="19"/>
        <v>0</v>
      </c>
      <c r="S28" s="19"/>
      <c r="T28" s="10">
        <f t="shared" si="20"/>
        <v>625</v>
      </c>
      <c r="U28" s="16">
        <v>3085.9079742213207</v>
      </c>
      <c r="V28" s="5">
        <f t="shared" si="21"/>
        <v>1881.1954600892386</v>
      </c>
      <c r="W28" s="2">
        <f t="shared" si="22"/>
        <v>78.261667284028618</v>
      </c>
      <c r="X28" s="10">
        <f t="shared" ref="X28:X36" si="30">V28*T28/60/60*$S$14*10/(W28/100)/1000000*IF(V28&lt;$S$18,NA(),1)</f>
        <v>4.2148654613574852</v>
      </c>
      <c r="Y28" s="10"/>
      <c r="Z28" s="9">
        <v>11.8</v>
      </c>
      <c r="AA28">
        <f t="shared" si="5"/>
        <v>5.5600000000000005</v>
      </c>
      <c r="AB28" s="10">
        <f t="shared" si="6"/>
        <v>4.2148654613574852</v>
      </c>
      <c r="AC28" s="11">
        <f t="shared" si="7"/>
        <v>9.1081081081081088</v>
      </c>
      <c r="AD28" s="11">
        <f t="shared" si="23"/>
        <v>30.682973569465592</v>
      </c>
      <c r="AF28" s="5">
        <f t="shared" si="8"/>
        <v>76000</v>
      </c>
      <c r="AG28" s="5">
        <f t="shared" si="9"/>
        <v>50000</v>
      </c>
      <c r="AH28" s="5">
        <f t="shared" si="24"/>
        <v>192234.43613068666</v>
      </c>
      <c r="AI28" s="5">
        <f t="shared" si="25"/>
        <v>318234.43613068666</v>
      </c>
      <c r="AJ28" s="5">
        <f t="shared" si="26"/>
        <v>696.93341512620384</v>
      </c>
      <c r="AK28" s="5">
        <f t="shared" si="29"/>
        <v>998044.23856331129</v>
      </c>
      <c r="AL28" s="5"/>
      <c r="AM28">
        <f t="shared" si="10"/>
        <v>2023</v>
      </c>
      <c r="AN28" s="10">
        <f t="shared" si="27"/>
        <v>16.290150000000001</v>
      </c>
      <c r="AP28" s="5">
        <f t="shared" si="11"/>
        <v>71.115654604714678</v>
      </c>
      <c r="AQ28" s="14">
        <f t="shared" si="28"/>
        <v>11.306145406154956</v>
      </c>
      <c r="AR28" s="14">
        <f t="shared" si="12"/>
        <v>61.266731034601356</v>
      </c>
      <c r="AS28" s="14">
        <f t="shared" si="13"/>
        <v>9.7403387972339193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1196039.2693306501</v>
      </c>
      <c r="P29" s="3">
        <f t="shared" si="18"/>
        <v>78000</v>
      </c>
      <c r="Q29" s="3">
        <v>325960.73066935001</v>
      </c>
      <c r="R29" s="3">
        <f t="shared" si="19"/>
        <v>0</v>
      </c>
      <c r="S29" s="19"/>
      <c r="T29" s="10">
        <f t="shared" si="20"/>
        <v>708.33333333333337</v>
      </c>
      <c r="U29" s="16">
        <v>3213.5204970019913</v>
      </c>
      <c r="V29" s="5">
        <f>LinearInterpolation(T29/U29,$AE$6:$AE$11,$AF$6:$AF$11)*U29*U29</f>
        <v>1881.279255043527</v>
      </c>
      <c r="W29" s="2">
        <f t="shared" si="22"/>
        <v>75.095632399913583</v>
      </c>
      <c r="X29" s="10">
        <f t="shared" si="30"/>
        <v>4.9784613546902827</v>
      </c>
      <c r="Y29" s="10"/>
      <c r="Z29" s="9">
        <v>11.8</v>
      </c>
      <c r="AA29">
        <f t="shared" si="5"/>
        <v>5.72</v>
      </c>
      <c r="AB29" s="10">
        <f t="shared" si="6"/>
        <v>4.9784613546902827</v>
      </c>
      <c r="AC29" s="11">
        <f t="shared" si="7"/>
        <v>9.1081081081081088</v>
      </c>
      <c r="AD29" s="11">
        <f t="shared" si="23"/>
        <v>31.60656946279839</v>
      </c>
      <c r="AF29" s="5">
        <f t="shared" si="8"/>
        <v>78000</v>
      </c>
      <c r="AG29" s="5">
        <f t="shared" si="9"/>
        <v>50000</v>
      </c>
      <c r="AH29" s="5">
        <f t="shared" si="24"/>
        <v>197960.73066935001</v>
      </c>
      <c r="AI29" s="5">
        <f t="shared" si="25"/>
        <v>325960.73066935001</v>
      </c>
      <c r="AJ29" s="5">
        <f t="shared" si="26"/>
        <v>713.85400016587641</v>
      </c>
      <c r="AK29" s="5">
        <f t="shared" si="29"/>
        <v>1258779.4121238976</v>
      </c>
      <c r="AL29" s="5"/>
      <c r="AM29">
        <f t="shared" si="10"/>
        <v>2024</v>
      </c>
      <c r="AN29" s="10">
        <f t="shared" si="27"/>
        <v>19.906124999999999</v>
      </c>
      <c r="AP29" s="5">
        <f t="shared" si="11"/>
        <v>72.106464663219839</v>
      </c>
      <c r="AQ29" s="14">
        <f t="shared" si="28"/>
        <v>11.463666878095363</v>
      </c>
      <c r="AR29" s="14">
        <f t="shared" si="12"/>
        <v>63.235783565304523</v>
      </c>
      <c r="AS29" s="14">
        <f t="shared" si="13"/>
        <v>10.053383714674805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1186036.9560882526</v>
      </c>
      <c r="P30" s="3">
        <f t="shared" si="18"/>
        <v>80000</v>
      </c>
      <c r="Q30" s="3">
        <v>333963.0439117474</v>
      </c>
      <c r="R30" s="3">
        <f t="shared" si="19"/>
        <v>0</v>
      </c>
      <c r="S30" s="19"/>
      <c r="T30" s="10">
        <f t="shared" si="20"/>
        <v>750</v>
      </c>
      <c r="U30" s="16">
        <v>3316.3367457345021</v>
      </c>
      <c r="V30" s="5">
        <f t="shared" si="21"/>
        <v>1947.1242319598662</v>
      </c>
      <c r="W30" s="2">
        <f t="shared" si="22"/>
        <v>74.000133175201768</v>
      </c>
      <c r="X30" s="10">
        <f t="shared" si="30"/>
        <v>5.5365763937866239</v>
      </c>
      <c r="Y30" s="10"/>
      <c r="Z30" s="9">
        <v>11.8</v>
      </c>
      <c r="AA30">
        <f t="shared" si="5"/>
        <v>6.13</v>
      </c>
      <c r="AB30" s="10">
        <f t="shared" si="6"/>
        <v>5.5365763937866239</v>
      </c>
      <c r="AC30" s="11">
        <f t="shared" si="7"/>
        <v>9.1081081081081088</v>
      </c>
      <c r="AD30" s="11">
        <f t="shared" si="23"/>
        <v>32.574684501894737</v>
      </c>
      <c r="AF30" s="5">
        <f t="shared" si="8"/>
        <v>80000</v>
      </c>
      <c r="AG30" s="5">
        <f t="shared" si="9"/>
        <v>50000</v>
      </c>
      <c r="AH30" s="5">
        <f t="shared" si="24"/>
        <v>203963.04391174737</v>
      </c>
      <c r="AI30" s="5">
        <f t="shared" si="25"/>
        <v>333963.0439117474</v>
      </c>
      <c r="AJ30" s="5">
        <f t="shared" si="26"/>
        <v>731.37906616672672</v>
      </c>
      <c r="AK30" s="5">
        <f t="shared" si="29"/>
        <v>1525915.6160412945</v>
      </c>
      <c r="AL30" s="5"/>
      <c r="AM30">
        <f t="shared" si="10"/>
        <v>2024</v>
      </c>
      <c r="AN30" s="10">
        <f t="shared" si="27"/>
        <v>23.558624999999999</v>
      </c>
      <c r="AP30" s="5">
        <f t="shared" si="11"/>
        <v>73.13790661667268</v>
      </c>
      <c r="AQ30" s="14">
        <f t="shared" si="28"/>
        <v>11.627648110758773</v>
      </c>
      <c r="AR30" s="14">
        <f t="shared" si="12"/>
        <v>64.770996441485636</v>
      </c>
      <c r="AS30" s="14">
        <f t="shared" si="13"/>
        <v>10.297455714067668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1281292.9560882526</v>
      </c>
      <c r="P31" s="3">
        <f t="shared" si="18"/>
        <v>82000</v>
      </c>
      <c r="Q31" s="3">
        <v>336707.04391174734</v>
      </c>
      <c r="R31" s="3">
        <f t="shared" si="19"/>
        <v>0</v>
      </c>
      <c r="S31" s="19"/>
      <c r="T31" s="10">
        <f t="shared" si="20"/>
        <v>750</v>
      </c>
      <c r="U31" s="16">
        <v>3316.3367457345021</v>
      </c>
      <c r="V31" s="5">
        <f>LinearInterpolation(T31/U31,$AE$6:$AE$11,$AF$6:$AF$11)*U31*U31</f>
        <v>1947.1242319598662</v>
      </c>
      <c r="W31" s="2">
        <f t="shared" si="22"/>
        <v>74.000133175201768</v>
      </c>
      <c r="X31" s="10">
        <f t="shared" si="30"/>
        <v>5.5365763937866239</v>
      </c>
      <c r="Y31" s="10"/>
      <c r="Z31" s="9">
        <v>11.8</v>
      </c>
      <c r="AA31">
        <f t="shared" si="5"/>
        <v>6.25</v>
      </c>
      <c r="AB31" s="10">
        <f t="shared" si="6"/>
        <v>5.5365763937866239</v>
      </c>
      <c r="AC31" s="11">
        <f t="shared" si="7"/>
        <v>9.1081081081081088</v>
      </c>
      <c r="AD31" s="11">
        <f t="shared" si="23"/>
        <v>32.694684501894734</v>
      </c>
      <c r="AF31" s="5">
        <f t="shared" si="8"/>
        <v>82000</v>
      </c>
      <c r="AG31" s="5">
        <f t="shared" si="9"/>
        <v>50000</v>
      </c>
      <c r="AH31" s="5">
        <f t="shared" si="24"/>
        <v>204707.04391174734</v>
      </c>
      <c r="AI31" s="5">
        <f t="shared" si="25"/>
        <v>336707.04391174734</v>
      </c>
      <c r="AJ31" s="5">
        <f t="shared" si="26"/>
        <v>737.38842616672662</v>
      </c>
      <c r="AK31" s="5">
        <f t="shared" si="29"/>
        <v>1795246.7386986914</v>
      </c>
      <c r="AL31" s="5"/>
      <c r="AM31">
        <f t="shared" si="10"/>
        <v>2026</v>
      </c>
      <c r="AN31" s="10">
        <f t="shared" si="27"/>
        <v>27.6129</v>
      </c>
      <c r="AP31" s="5">
        <f t="shared" si="11"/>
        <v>66.431389744750149</v>
      </c>
      <c r="AQ31" s="14">
        <f t="shared" si="28"/>
        <v>10.561429212201931</v>
      </c>
      <c r="AR31" s="14">
        <f t="shared" si="12"/>
        <v>65.01478434712368</v>
      </c>
      <c r="AS31" s="14">
        <f t="shared" si="13"/>
        <v>10.336213727682621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1651787.2285303501</v>
      </c>
      <c r="P32" s="3">
        <f t="shared" si="18"/>
        <v>90000</v>
      </c>
      <c r="Q32" s="3">
        <v>358212.77146964986</v>
      </c>
      <c r="R32" s="3">
        <f t="shared" si="19"/>
        <v>0</v>
      </c>
      <c r="S32" s="19"/>
      <c r="T32" s="10">
        <f t="shared" si="20"/>
        <v>833.33333333333337</v>
      </c>
      <c r="U32" s="16">
        <v>3684.8497898632613</v>
      </c>
      <c r="V32" s="5">
        <f t="shared" si="21"/>
        <v>2403.9210448679892</v>
      </c>
      <c r="W32" s="2">
        <f t="shared" si="22"/>
        <v>74.000499058034066</v>
      </c>
      <c r="X32" s="10">
        <f t="shared" si="30"/>
        <v>7.5949195482870264</v>
      </c>
      <c r="Y32" s="10"/>
      <c r="Z32" s="9">
        <v>11.8</v>
      </c>
      <c r="AA32">
        <f t="shared" si="5"/>
        <v>6.37</v>
      </c>
      <c r="AB32" s="10">
        <f t="shared" si="6"/>
        <v>7.5949195482870264</v>
      </c>
      <c r="AC32" s="11">
        <f t="shared" si="7"/>
        <v>9.1081081081081088</v>
      </c>
      <c r="AD32" s="11">
        <f t="shared" si="23"/>
        <v>34.873027656395138</v>
      </c>
      <c r="AF32" s="5">
        <f t="shared" si="8"/>
        <v>90000</v>
      </c>
      <c r="AG32" s="5">
        <f t="shared" si="9"/>
        <v>50000</v>
      </c>
      <c r="AH32" s="5">
        <f t="shared" si="24"/>
        <v>218212.77146964986</v>
      </c>
      <c r="AI32" s="5">
        <f t="shared" si="25"/>
        <v>358212.77146964986</v>
      </c>
      <c r="AJ32" s="5">
        <f t="shared" si="26"/>
        <v>784.48596951853324</v>
      </c>
      <c r="AK32" s="5">
        <f t="shared" si="29"/>
        <v>2081780.2390653356</v>
      </c>
      <c r="AL32" s="5"/>
      <c r="AM32">
        <f t="shared" si="10"/>
        <v>2027</v>
      </c>
      <c r="AN32" s="10">
        <f t="shared" si="27"/>
        <v>31.448025000000001</v>
      </c>
      <c r="AP32" s="5">
        <f t="shared" si="11"/>
        <v>74.712949477955547</v>
      </c>
      <c r="AQ32" s="14">
        <f t="shared" si="28"/>
        <v>11.878052381232996</v>
      </c>
      <c r="AR32" s="14">
        <f t="shared" si="12"/>
        <v>66.197487411859271</v>
      </c>
      <c r="AS32" s="14">
        <f t="shared" si="13"/>
        <v>10.52424283177413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711813.56386931334</v>
      </c>
      <c r="P33" s="3">
        <f t="shared" si="18"/>
        <v>70000</v>
      </c>
      <c r="Q33" s="3">
        <v>318186.43613068666</v>
      </c>
      <c r="R33" s="3">
        <f t="shared" si="19"/>
        <v>0</v>
      </c>
      <c r="S33" s="19"/>
      <c r="T33" s="10">
        <f t="shared" si="20"/>
        <v>625</v>
      </c>
      <c r="U33" s="16">
        <v>3085.9079742213207</v>
      </c>
      <c r="V33" s="5">
        <f t="shared" si="21"/>
        <v>1881.1954600892386</v>
      </c>
      <c r="W33" s="2">
        <f t="shared" si="22"/>
        <v>78.261667284028618</v>
      </c>
      <c r="X33" s="10">
        <f t="shared" si="30"/>
        <v>4.2148654613574852</v>
      </c>
      <c r="Y33" s="10"/>
      <c r="Z33" s="9">
        <v>11.8</v>
      </c>
      <c r="AA33">
        <f t="shared" si="5"/>
        <v>6.5200000000000005</v>
      </c>
      <c r="AB33" s="10">
        <f t="shared" si="6"/>
        <v>4.2148654613574852</v>
      </c>
      <c r="AC33" s="11">
        <f t="shared" si="7"/>
        <v>9.1081081081081088</v>
      </c>
      <c r="AD33" s="11">
        <f t="shared" si="23"/>
        <v>31.642973569465592</v>
      </c>
      <c r="AF33" s="5">
        <f t="shared" si="8"/>
        <v>70000</v>
      </c>
      <c r="AG33" s="5">
        <f t="shared" si="9"/>
        <v>50000</v>
      </c>
      <c r="AH33" s="5">
        <f t="shared" si="24"/>
        <v>198186.43613068666</v>
      </c>
      <c r="AI33" s="5">
        <f t="shared" si="25"/>
        <v>318186.43613068666</v>
      </c>
      <c r="AJ33" s="5">
        <f t="shared" si="26"/>
        <v>696.82829512620378</v>
      </c>
      <c r="AK33" s="5">
        <f t="shared" si="29"/>
        <v>2336296.7738601817</v>
      </c>
      <c r="AL33" s="5"/>
      <c r="AM33">
        <f t="shared" si="10"/>
        <v>2028</v>
      </c>
      <c r="AN33" s="10">
        <f t="shared" si="27"/>
        <v>34.917900000000003</v>
      </c>
      <c r="AP33" s="5">
        <f t="shared" si="11"/>
        <v>73.350346855389873</v>
      </c>
      <c r="AQ33" s="14">
        <f t="shared" si="28"/>
        <v>11.661422393543701</v>
      </c>
      <c r="AR33" s="14">
        <f t="shared" si="12"/>
        <v>66.908284113883752</v>
      </c>
      <c r="AS33" s="14">
        <f t="shared" si="13"/>
        <v>10.637247076929054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50000</v>
      </c>
      <c r="Q34" s="3">
        <v>257125.04391174734</v>
      </c>
      <c r="R34" s="3">
        <f t="shared" si="19"/>
        <v>0</v>
      </c>
      <c r="S34" s="19"/>
      <c r="T34" s="10">
        <f t="shared" si="20"/>
        <v>750</v>
      </c>
      <c r="U34" s="16">
        <v>3316.3367457345021</v>
      </c>
      <c r="V34" s="5">
        <f t="shared" si="21"/>
        <v>1947.1242319598662</v>
      </c>
      <c r="W34" s="2">
        <f t="shared" si="22"/>
        <v>74.000133175201768</v>
      </c>
      <c r="X34" s="10">
        <f t="shared" si="30"/>
        <v>5.5365763937866239</v>
      </c>
      <c r="Y34" s="10"/>
      <c r="Z34" s="9">
        <v>11.8</v>
      </c>
      <c r="AA34">
        <f t="shared" si="5"/>
        <v>6.64</v>
      </c>
      <c r="AB34" s="10">
        <f t="shared" si="6"/>
        <v>5.5365763937866239</v>
      </c>
      <c r="AC34" s="11">
        <f t="shared" si="7"/>
        <v>9.1081081081081088</v>
      </c>
      <c r="AD34" s="11">
        <f t="shared" si="23"/>
        <v>33.084684501894735</v>
      </c>
      <c r="AF34" s="5">
        <f t="shared" si="8"/>
        <v>50000</v>
      </c>
      <c r="AG34" s="5">
        <f t="shared" si="9"/>
        <v>0</v>
      </c>
      <c r="AH34" s="5">
        <f t="shared" si="24"/>
        <v>207125.04391174734</v>
      </c>
      <c r="AI34" s="5">
        <f t="shared" si="25"/>
        <v>257125.04391174734</v>
      </c>
      <c r="AJ34" s="5">
        <f t="shared" si="26"/>
        <v>563.10384616672661</v>
      </c>
      <c r="AK34" s="5">
        <f t="shared" si="29"/>
        <v>2541970.4536725786</v>
      </c>
      <c r="AL34" s="5"/>
      <c r="AM34">
        <f t="shared" si="10"/>
        <v>2029</v>
      </c>
      <c r="AN34" s="10">
        <f t="shared" si="27"/>
        <v>37.657275000000006</v>
      </c>
      <c r="AP34" s="5">
        <f t="shared" si="11"/>
        <v>75.080512822230219</v>
      </c>
      <c r="AQ34" s="14">
        <f t="shared" si="28"/>
        <v>11.936488524996856</v>
      </c>
      <c r="AR34" s="14">
        <f t="shared" si="12"/>
        <v>67.502772138254258</v>
      </c>
      <c r="AS34" s="14">
        <f t="shared" si="13"/>
        <v>10.731760276352029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40000</v>
      </c>
      <c r="Q35" s="3">
        <v>244656.73066935001</v>
      </c>
      <c r="R35" s="3">
        <f t="shared" si="19"/>
        <v>0</v>
      </c>
      <c r="S35" s="19"/>
      <c r="T35" s="10">
        <f t="shared" si="20"/>
        <v>708.33333333333337</v>
      </c>
      <c r="U35" s="16">
        <v>3213.5204970019913</v>
      </c>
      <c r="V35" s="5">
        <f t="shared" si="21"/>
        <v>1881.279255043527</v>
      </c>
      <c r="W35" s="2">
        <f t="shared" si="22"/>
        <v>75.095632399913583</v>
      </c>
      <c r="X35" s="10">
        <f t="shared" si="30"/>
        <v>4.9784613546902827</v>
      </c>
      <c r="Y35" s="10"/>
      <c r="Z35" s="9">
        <v>11.8</v>
      </c>
      <c r="AA35">
        <f t="shared" si="5"/>
        <v>6.8</v>
      </c>
      <c r="AB35" s="10">
        <f t="shared" si="6"/>
        <v>4.9784613546902827</v>
      </c>
      <c r="AC35" s="11">
        <f t="shared" si="7"/>
        <v>9.1081081081081088</v>
      </c>
      <c r="AD35" s="11">
        <f t="shared" si="23"/>
        <v>32.686569462798388</v>
      </c>
      <c r="AF35" s="5">
        <f t="shared" si="8"/>
        <v>40000</v>
      </c>
      <c r="AG35" s="5">
        <f t="shared" si="9"/>
        <v>0</v>
      </c>
      <c r="AH35" s="5">
        <f t="shared" si="24"/>
        <v>204656.73066935001</v>
      </c>
      <c r="AI35" s="5">
        <f t="shared" si="25"/>
        <v>244656.73066935001</v>
      </c>
      <c r="AJ35" s="5">
        <f t="shared" si="26"/>
        <v>535.79824016587656</v>
      </c>
      <c r="AK35" s="5">
        <f t="shared" si="29"/>
        <v>2737670.7608931651</v>
      </c>
      <c r="AL35" s="5"/>
      <c r="AM35">
        <f t="shared" si="10"/>
        <v>2030</v>
      </c>
      <c r="AN35" s="10">
        <f t="shared" si="27"/>
        <v>40.579275000000003</v>
      </c>
      <c r="AP35" s="5">
        <f t="shared" si="11"/>
        <v>66.97478002073457</v>
      </c>
      <c r="AQ35" s="14">
        <f t="shared" si="28"/>
        <v>10.647818763232841</v>
      </c>
      <c r="AR35" s="14">
        <f t="shared" si="12"/>
        <v>67.46475290386941</v>
      </c>
      <c r="AS35" s="14">
        <f t="shared" si="13"/>
        <v>10.72571588296811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229519.56386931328</v>
      </c>
      <c r="P36" s="3">
        <f t="shared" si="18"/>
        <v>60000</v>
      </c>
      <c r="Q36" s="3">
        <v>310480.43613068672</v>
      </c>
      <c r="R36" s="3">
        <f t="shared" si="19"/>
        <v>0</v>
      </c>
      <c r="S36" s="19"/>
      <c r="T36" s="10">
        <f t="shared" si="20"/>
        <v>625</v>
      </c>
      <c r="U36" s="16">
        <v>3085.9079742213207</v>
      </c>
      <c r="V36" s="5">
        <f t="shared" si="21"/>
        <v>1881.1954600892386</v>
      </c>
      <c r="W36" s="2">
        <f t="shared" si="22"/>
        <v>78.261667284028618</v>
      </c>
      <c r="X36" s="10">
        <f t="shared" si="30"/>
        <v>4.2148654613574852</v>
      </c>
      <c r="Y36" s="10"/>
      <c r="Z36" s="9">
        <v>11.8</v>
      </c>
      <c r="AA36">
        <f t="shared" si="5"/>
        <v>6.89</v>
      </c>
      <c r="AB36" s="10">
        <f t="shared" si="6"/>
        <v>4.2148654613574852</v>
      </c>
      <c r="AC36" s="11">
        <f t="shared" si="7"/>
        <v>9.1081081081081088</v>
      </c>
      <c r="AD36" s="11">
        <f t="shared" si="23"/>
        <v>32.012973569465601</v>
      </c>
      <c r="AF36" s="5">
        <f t="shared" si="8"/>
        <v>60000</v>
      </c>
      <c r="AG36" s="5">
        <f t="shared" si="9"/>
        <v>50000</v>
      </c>
      <c r="AH36" s="5">
        <f t="shared" si="24"/>
        <v>200480.43613068672</v>
      </c>
      <c r="AI36" s="5">
        <f t="shared" si="25"/>
        <v>310480.43613068672</v>
      </c>
      <c r="AJ36" s="5">
        <f t="shared" si="26"/>
        <v>679.95215512620393</v>
      </c>
      <c r="AK36" s="5">
        <f t="shared" si="29"/>
        <v>2986023.2855530111</v>
      </c>
      <c r="AL36" s="5"/>
      <c r="AM36">
        <f t="shared" si="10"/>
        <v>2031</v>
      </c>
      <c r="AN36" s="10">
        <f t="shared" si="27"/>
        <v>43.136025000000004</v>
      </c>
      <c r="AP36" s="5">
        <f t="shared" si="11"/>
        <v>97.13602216088627</v>
      </c>
      <c r="AQ36" s="14">
        <f t="shared" si="28"/>
        <v>15.442928801412762</v>
      </c>
      <c r="AR36" s="14">
        <f t="shared" si="12"/>
        <v>69.223422546537634</v>
      </c>
      <c r="AS36" s="14">
        <f t="shared" si="13"/>
        <v>11.00531360040344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5.9924999999999997</v>
      </c>
      <c r="AB38" s="11">
        <f t="shared" si="31"/>
        <v>4.9140074633192876</v>
      </c>
      <c r="AC38" s="11">
        <f t="shared" si="31"/>
        <v>9.1081081081081106</v>
      </c>
      <c r="AD38" s="11">
        <f t="shared" si="31"/>
        <v>31.814615571427396</v>
      </c>
      <c r="AF38" s="2">
        <f t="shared" ref="AF38:AI38" si="32">AVERAGE(AF25:AF36)</f>
        <v>70166.666666666672</v>
      </c>
      <c r="AG38" s="2">
        <f t="shared" si="32"/>
        <v>41666.666666666664</v>
      </c>
      <c r="AH38" s="2">
        <f t="shared" si="32"/>
        <v>199250.61654284989</v>
      </c>
      <c r="AI38" s="2">
        <f t="shared" si="32"/>
        <v>311083.94987618318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11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1854D-34F7-4E09-9D0D-18EFDDDBA45A}">
  <sheetPr codeName="Sheet4">
    <tabColor rgb="FFFF0000"/>
  </sheetPr>
  <dimension ref="A1:AZ50"/>
  <sheetViews>
    <sheetView topLeftCell="AF10" zoomScaleNormal="100" workbookViewId="0">
      <selection activeCell="Q25" sqref="Q25:Q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0.01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989625.39320947765</v>
      </c>
      <c r="P25" s="3">
        <f>C25*$P$22</f>
        <v>35000</v>
      </c>
      <c r="Q25" s="3">
        <v>275374.60679052235</v>
      </c>
      <c r="R25" s="3">
        <f>Q25-AI25</f>
        <v>0</v>
      </c>
      <c r="S25" s="19"/>
      <c r="T25" s="10">
        <f>L25/24</f>
        <v>666.66666666666663</v>
      </c>
      <c r="U25" s="16">
        <v>3147.4854002502011</v>
      </c>
      <c r="V25" s="5">
        <f>LinearInterpolation(T25/U25,$AE$6:$AE$11,$AF$6:$AF$11)*U25*U25</f>
        <v>1881.2071889633828</v>
      </c>
      <c r="W25" s="2">
        <f>LinearInterpolation(T25/U25,$AE$6:$AE$11,$AC$6:$AC$11)</f>
        <v>76.742340478521214</v>
      </c>
      <c r="X25" s="10">
        <f t="shared" ref="X25:X26" si="4">V25*T25/60/60*$S$14*10/(W25/100)/1000000*IF(V25&lt;$S$18,NA(),1)</f>
        <v>4.5848929871374278</v>
      </c>
      <c r="Z25" s="9">
        <v>11.8</v>
      </c>
      <c r="AA25">
        <f t="shared" ref="AA25:AA36" si="5">LinearInterpolation(K25,$A$5:$A$19,$B$5:$B$19)</f>
        <v>4.8899999999999997</v>
      </c>
      <c r="AB25" s="10">
        <f t="shared" ref="AB25:AB36" si="6">X25</f>
        <v>4.5848929871374278</v>
      </c>
      <c r="AC25" s="11">
        <f t="shared" ref="AC25:AC36" si="7">LinearInterpolation(M25,$P$5:$P$11,$Q$5:$Q$11)</f>
        <v>9.1081081081081088</v>
      </c>
      <c r="AD25" s="11">
        <f>SUM(Z25:AC25)</f>
        <v>30.383001095245536</v>
      </c>
      <c r="AF25" s="5">
        <f t="shared" ref="AF25:AF36" si="8">P25</f>
        <v>35000</v>
      </c>
      <c r="AG25" s="5">
        <f t="shared" ref="AG25:AG36" si="9">LinearInterpolation(O25,$D$5:$D$9,$E$5:$E$9)</f>
        <v>50000</v>
      </c>
      <c r="AH25" s="5">
        <f>LinearInterpolation(AD25,$H$5:$H$10,$I$5:$I$10)</f>
        <v>190374.60679052232</v>
      </c>
      <c r="AI25" s="5">
        <f>SUM(AF25:AH25)</f>
        <v>275374.60679052235</v>
      </c>
      <c r="AJ25" s="5">
        <f>$AG$18*AI25/1000</f>
        <v>603.07038887124395</v>
      </c>
      <c r="AK25" s="5">
        <f>AJ25*365.25</f>
        <v>220271.45953522186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48.245631109699517</v>
      </c>
      <c r="AQ25" s="14">
        <f>AP25/6.29</f>
        <v>7.6702116231636754</v>
      </c>
      <c r="AR25" s="14">
        <f t="shared" ref="AR25:AR36" si="12">AK25/AN25/1000</f>
        <v>48.245631109699517</v>
      </c>
      <c r="AS25" s="14">
        <f t="shared" ref="AS25:AS36" si="13">AR25/6.29</f>
        <v>7.6702116231636754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1089175.6464152304</v>
      </c>
      <c r="P26" s="3">
        <f t="shared" ref="P26:P36" si="18">C26*$P$22</f>
        <v>36000</v>
      </c>
      <c r="Q26" s="3">
        <v>274824.35358476965</v>
      </c>
      <c r="R26" s="3">
        <f t="shared" ref="R26:R36" si="19">Q26-AI26</f>
        <v>0</v>
      </c>
      <c r="S26" s="19"/>
      <c r="T26" s="10">
        <f t="shared" ref="T26:T36" si="20">L26/24</f>
        <v>625</v>
      </c>
      <c r="U26" s="16">
        <v>3085.9039421082334</v>
      </c>
      <c r="V26" s="5">
        <f t="shared" ref="V26:V36" si="21">LinearInterpolation(T26/U26,$AE$6:$AE$11,$AF$6:$AF$11)*U26*U26</f>
        <v>1881.1889006759243</v>
      </c>
      <c r="W26" s="2">
        <f t="shared" ref="W26:W36" si="22">LinearInterpolation(T26/U26,$AE$6:$AE$11,$AC$6:$AC$11)</f>
        <v>78.261641610479998</v>
      </c>
      <c r="X26" s="10">
        <f t="shared" si="4"/>
        <v>4.2148521474998999</v>
      </c>
      <c r="Z26" s="9">
        <v>11.8</v>
      </c>
      <c r="AA26">
        <f t="shared" si="5"/>
        <v>5.01</v>
      </c>
      <c r="AB26" s="10">
        <f t="shared" si="6"/>
        <v>4.2148521474998999</v>
      </c>
      <c r="AC26" s="11">
        <f t="shared" si="7"/>
        <v>9.1081081081081088</v>
      </c>
      <c r="AD26" s="11">
        <f t="shared" ref="AD26:AD36" si="23">SUM(Z26:AC26)</f>
        <v>30.132960255608012</v>
      </c>
      <c r="AF26" s="5">
        <f t="shared" si="8"/>
        <v>36000</v>
      </c>
      <c r="AG26" s="5">
        <f t="shared" si="9"/>
        <v>50000</v>
      </c>
      <c r="AH26" s="5">
        <f t="shared" ref="AH26:AH36" si="24">LinearInterpolation(AD26,$H$5:$H$10,$I$5:$I$10)</f>
        <v>188824.35358476968</v>
      </c>
      <c r="AI26" s="5">
        <f t="shared" ref="AI26:AI36" si="25">SUM(AF26:AH26)</f>
        <v>274824.35358476965</v>
      </c>
      <c r="AJ26" s="5">
        <f t="shared" ref="AJ26:AJ36" si="26">$AG$18*AI26/1000</f>
        <v>601.86533435064553</v>
      </c>
      <c r="AK26" s="5">
        <f>AJ26*365.25+AK25</f>
        <v>440102.77290679514</v>
      </c>
      <c r="AL26" s="5"/>
      <c r="AM26">
        <f t="shared" si="10"/>
        <v>2021</v>
      </c>
      <c r="AN26" s="10">
        <f t="shared" ref="AN26:AN36" si="27">J26*0.00036525+AN25</f>
        <v>8.8025249999999993</v>
      </c>
      <c r="AP26" s="5">
        <f t="shared" si="11"/>
        <v>51.884942616434962</v>
      </c>
      <c r="AQ26" s="14">
        <f t="shared" ref="AQ26:AQ36" si="28">AP26/6.29</f>
        <v>8.2487985081772592</v>
      </c>
      <c r="AR26" s="14">
        <f t="shared" si="12"/>
        <v>49.997332913771352</v>
      </c>
      <c r="AS26" s="14">
        <f t="shared" si="13"/>
        <v>7.9487015761162718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1191721.3316251482</v>
      </c>
      <c r="P27" s="3">
        <f t="shared" si="18"/>
        <v>37000</v>
      </c>
      <c r="Q27" s="3">
        <v>271278.66837485193</v>
      </c>
      <c r="R27" s="3">
        <f t="shared" si="19"/>
        <v>0</v>
      </c>
      <c r="S27" s="19"/>
      <c r="T27" s="10">
        <f t="shared" si="20"/>
        <v>500</v>
      </c>
      <c r="U27" s="16">
        <v>2954.6796534618425</v>
      </c>
      <c r="V27" s="5">
        <f t="shared" si="21"/>
        <v>1881.1898670558762</v>
      </c>
      <c r="W27" s="2">
        <f t="shared" si="22"/>
        <v>78.49925058470626</v>
      </c>
      <c r="X27" s="10">
        <f>V27*T27/60/60*$S$14*10/(W27/100)/1000000*IF(V27&lt;$S$18,NA(),1)</f>
        <v>3.3616771136422052</v>
      </c>
      <c r="Y27" s="10"/>
      <c r="Z27" s="9">
        <v>11.8</v>
      </c>
      <c r="AA27">
        <f t="shared" si="5"/>
        <v>5.13</v>
      </c>
      <c r="AB27" s="10">
        <f t="shared" si="6"/>
        <v>3.3616771136422052</v>
      </c>
      <c r="AC27" s="11">
        <f t="shared" si="7"/>
        <v>9.1081081081081088</v>
      </c>
      <c r="AD27" s="11">
        <f t="shared" si="23"/>
        <v>29.399785221750314</v>
      </c>
      <c r="AF27" s="5">
        <f t="shared" si="8"/>
        <v>37000</v>
      </c>
      <c r="AG27" s="5">
        <f t="shared" si="9"/>
        <v>50000</v>
      </c>
      <c r="AH27" s="5">
        <f t="shared" si="24"/>
        <v>184278.66837485196</v>
      </c>
      <c r="AI27" s="5">
        <f t="shared" si="25"/>
        <v>271278.66837485193</v>
      </c>
      <c r="AJ27" s="5">
        <f t="shared" si="26"/>
        <v>594.10028374092576</v>
      </c>
      <c r="AK27" s="5">
        <f t="shared" ref="AK27:AK36" si="29">AJ27*365.25+AK26</f>
        <v>657097.90154316823</v>
      </c>
      <c r="AL27" s="5"/>
      <c r="AM27">
        <f t="shared" si="10"/>
        <v>2022</v>
      </c>
      <c r="AN27" s="10">
        <f t="shared" si="27"/>
        <v>12.710699999999999</v>
      </c>
      <c r="AP27" s="5">
        <f t="shared" si="11"/>
        <v>55.523391003824834</v>
      </c>
      <c r="AQ27" s="14">
        <f t="shared" si="28"/>
        <v>8.8272481723091953</v>
      </c>
      <c r="AR27" s="14">
        <f t="shared" si="12"/>
        <v>51.696436981690091</v>
      </c>
      <c r="AS27" s="14">
        <f t="shared" si="13"/>
        <v>8.2188294088537504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1181765.6464152304</v>
      </c>
      <c r="P28" s="3">
        <f t="shared" si="18"/>
        <v>38000</v>
      </c>
      <c r="Q28" s="3">
        <v>280234.35358476965</v>
      </c>
      <c r="R28" s="3">
        <f t="shared" si="19"/>
        <v>0</v>
      </c>
      <c r="S28" s="19"/>
      <c r="T28" s="10">
        <f t="shared" si="20"/>
        <v>625</v>
      </c>
      <c r="U28" s="16">
        <v>3085.9039421082334</v>
      </c>
      <c r="V28" s="5">
        <f t="shared" si="21"/>
        <v>1881.1889006759243</v>
      </c>
      <c r="W28" s="2">
        <f t="shared" si="22"/>
        <v>78.261641610479998</v>
      </c>
      <c r="X28" s="10">
        <f t="shared" ref="X28:X36" si="30">V28*T28/60/60*$S$14*10/(W28/100)/1000000*IF(V28&lt;$S$18,NA(),1)</f>
        <v>4.2148521474998999</v>
      </c>
      <c r="Y28" s="10"/>
      <c r="Z28" s="9">
        <v>11.8</v>
      </c>
      <c r="AA28">
        <f t="shared" si="5"/>
        <v>5.5600000000000005</v>
      </c>
      <c r="AB28" s="10">
        <f t="shared" si="6"/>
        <v>4.2148521474998999</v>
      </c>
      <c r="AC28" s="11">
        <f t="shared" si="7"/>
        <v>9.1081081081081088</v>
      </c>
      <c r="AD28" s="11">
        <f t="shared" si="23"/>
        <v>30.682960255608009</v>
      </c>
      <c r="AF28" s="5">
        <f t="shared" si="8"/>
        <v>38000</v>
      </c>
      <c r="AG28" s="5">
        <f t="shared" si="9"/>
        <v>50000</v>
      </c>
      <c r="AH28" s="5">
        <f t="shared" si="24"/>
        <v>192234.35358476965</v>
      </c>
      <c r="AI28" s="5">
        <f t="shared" si="25"/>
        <v>280234.35358476965</v>
      </c>
      <c r="AJ28" s="5">
        <f t="shared" si="26"/>
        <v>613.71323435064562</v>
      </c>
      <c r="AK28" s="5">
        <f t="shared" si="29"/>
        <v>881256.66038974153</v>
      </c>
      <c r="AL28" s="5"/>
      <c r="AM28">
        <f t="shared" si="10"/>
        <v>2023</v>
      </c>
      <c r="AN28" s="10">
        <f t="shared" si="27"/>
        <v>16.290150000000001</v>
      </c>
      <c r="AP28" s="5">
        <f t="shared" si="11"/>
        <v>62.62379942353526</v>
      </c>
      <c r="AQ28" s="14">
        <f t="shared" si="28"/>
        <v>9.9560889385588656</v>
      </c>
      <c r="AR28" s="14">
        <f t="shared" si="12"/>
        <v>54.097516621378041</v>
      </c>
      <c r="AS28" s="14">
        <f t="shared" si="13"/>
        <v>8.6005590813001653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1274040.4229247679</v>
      </c>
      <c r="P29" s="3">
        <f t="shared" si="18"/>
        <v>39000</v>
      </c>
      <c r="Q29" s="3">
        <v>286959.57707523211</v>
      </c>
      <c r="R29" s="3">
        <f t="shared" si="19"/>
        <v>0</v>
      </c>
      <c r="S29" s="19"/>
      <c r="T29" s="10">
        <f t="shared" si="20"/>
        <v>708.33333333333337</v>
      </c>
      <c r="U29" s="16">
        <v>3213.4728917920038</v>
      </c>
      <c r="V29" s="5">
        <f>LinearInterpolation(T29/U29,$AE$6:$AE$11,$AF$6:$AF$11)*U29*U29</f>
        <v>1881.1933062261235</v>
      </c>
      <c r="W29" s="2">
        <f t="shared" si="22"/>
        <v>75.095008132178194</v>
      </c>
      <c r="X29" s="10">
        <f t="shared" si="30"/>
        <v>4.978275291122876</v>
      </c>
      <c r="Y29" s="10"/>
      <c r="Z29" s="9">
        <v>11.8</v>
      </c>
      <c r="AA29">
        <f t="shared" si="5"/>
        <v>5.72</v>
      </c>
      <c r="AB29" s="10">
        <f t="shared" si="6"/>
        <v>4.978275291122876</v>
      </c>
      <c r="AC29" s="11">
        <f t="shared" si="7"/>
        <v>9.1081081081081088</v>
      </c>
      <c r="AD29" s="11">
        <f t="shared" si="23"/>
        <v>31.606383399230985</v>
      </c>
      <c r="AF29" s="5">
        <f t="shared" si="8"/>
        <v>39000</v>
      </c>
      <c r="AG29" s="5">
        <f t="shared" si="9"/>
        <v>50000</v>
      </c>
      <c r="AH29" s="5">
        <f t="shared" si="24"/>
        <v>197959.57707523211</v>
      </c>
      <c r="AI29" s="5">
        <f t="shared" si="25"/>
        <v>286959.57707523211</v>
      </c>
      <c r="AJ29" s="5">
        <f t="shared" si="26"/>
        <v>628.44147379475828</v>
      </c>
      <c r="AK29" s="5">
        <f t="shared" si="29"/>
        <v>1110794.908693277</v>
      </c>
      <c r="AL29" s="5"/>
      <c r="AM29">
        <f t="shared" si="10"/>
        <v>2024</v>
      </c>
      <c r="AN29" s="10">
        <f t="shared" si="27"/>
        <v>19.906124999999999</v>
      </c>
      <c r="AP29" s="5">
        <f t="shared" si="11"/>
        <v>63.478936746945287</v>
      </c>
      <c r="AQ29" s="14">
        <f t="shared" si="28"/>
        <v>10.09204081827429</v>
      </c>
      <c r="AR29" s="14">
        <f t="shared" si="12"/>
        <v>55.801664497398519</v>
      </c>
      <c r="AS29" s="14">
        <f t="shared" si="13"/>
        <v>8.8714887913193188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1266037.211508245</v>
      </c>
      <c r="P30" s="3">
        <f t="shared" si="18"/>
        <v>40000</v>
      </c>
      <c r="Q30" s="3">
        <v>293962.78849175497</v>
      </c>
      <c r="R30" s="3">
        <f t="shared" si="19"/>
        <v>0</v>
      </c>
      <c r="S30" s="19"/>
      <c r="T30" s="10">
        <f t="shared" si="20"/>
        <v>750</v>
      </c>
      <c r="U30" s="16">
        <v>3316.3271072769385</v>
      </c>
      <c r="V30" s="5">
        <f t="shared" si="21"/>
        <v>1947.106437399844</v>
      </c>
      <c r="W30" s="2">
        <f t="shared" si="22"/>
        <v>74.000007518036313</v>
      </c>
      <c r="X30" s="10">
        <f t="shared" si="30"/>
        <v>5.5365351970136638</v>
      </c>
      <c r="Y30" s="10"/>
      <c r="Z30" s="9">
        <v>11.8</v>
      </c>
      <c r="AA30">
        <f t="shared" si="5"/>
        <v>6.13</v>
      </c>
      <c r="AB30" s="10">
        <f t="shared" si="6"/>
        <v>5.5365351970136638</v>
      </c>
      <c r="AC30" s="11">
        <f t="shared" si="7"/>
        <v>9.1081081081081088</v>
      </c>
      <c r="AD30" s="11">
        <f t="shared" si="23"/>
        <v>32.574643305121768</v>
      </c>
      <c r="AF30" s="5">
        <f t="shared" si="8"/>
        <v>40000</v>
      </c>
      <c r="AG30" s="5">
        <f t="shared" si="9"/>
        <v>50000</v>
      </c>
      <c r="AH30" s="5">
        <f t="shared" si="24"/>
        <v>203962.78849175497</v>
      </c>
      <c r="AI30" s="5">
        <f t="shared" si="25"/>
        <v>293962.78849175497</v>
      </c>
      <c r="AJ30" s="5">
        <f t="shared" si="26"/>
        <v>643.77850679694336</v>
      </c>
      <c r="AK30" s="5">
        <f t="shared" si="29"/>
        <v>1345935.0083008606</v>
      </c>
      <c r="AL30" s="5"/>
      <c r="AM30">
        <f t="shared" si="10"/>
        <v>2024</v>
      </c>
      <c r="AN30" s="10">
        <f t="shared" si="27"/>
        <v>23.558624999999999</v>
      </c>
      <c r="AP30" s="5">
        <f t="shared" si="11"/>
        <v>64.377850679694333</v>
      </c>
      <c r="AQ30" s="14">
        <f t="shared" si="28"/>
        <v>10.234952413305935</v>
      </c>
      <c r="AR30" s="14">
        <f t="shared" si="12"/>
        <v>57.131305765971511</v>
      </c>
      <c r="AS30" s="14">
        <f t="shared" si="13"/>
        <v>9.0828785001544539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1363293.211508245</v>
      </c>
      <c r="P31" s="3">
        <f t="shared" si="18"/>
        <v>41000</v>
      </c>
      <c r="Q31" s="3">
        <v>295706.78849175503</v>
      </c>
      <c r="R31" s="3">
        <f t="shared" si="19"/>
        <v>0</v>
      </c>
      <c r="S31" s="19"/>
      <c r="T31" s="10">
        <f t="shared" si="20"/>
        <v>750</v>
      </c>
      <c r="U31" s="16">
        <v>3316.3271072769385</v>
      </c>
      <c r="V31" s="5">
        <f>LinearInterpolation(T31/U31,$AE$6:$AE$11,$AF$6:$AF$11)*U31*U31</f>
        <v>1947.106437399844</v>
      </c>
      <c r="W31" s="2">
        <f t="shared" si="22"/>
        <v>74.000007518036313</v>
      </c>
      <c r="X31" s="10">
        <f t="shared" si="30"/>
        <v>5.5365351970136638</v>
      </c>
      <c r="Y31" s="10"/>
      <c r="Z31" s="9">
        <v>11.8</v>
      </c>
      <c r="AA31">
        <f t="shared" si="5"/>
        <v>6.25</v>
      </c>
      <c r="AB31" s="10">
        <f t="shared" si="6"/>
        <v>5.5365351970136638</v>
      </c>
      <c r="AC31" s="11">
        <f t="shared" si="7"/>
        <v>9.1081081081081088</v>
      </c>
      <c r="AD31" s="11">
        <f t="shared" si="23"/>
        <v>32.694643305121772</v>
      </c>
      <c r="AF31" s="5">
        <f t="shared" si="8"/>
        <v>41000</v>
      </c>
      <c r="AG31" s="5">
        <f t="shared" si="9"/>
        <v>50000</v>
      </c>
      <c r="AH31" s="5">
        <f t="shared" si="24"/>
        <v>204706.788491755</v>
      </c>
      <c r="AI31" s="5">
        <f t="shared" si="25"/>
        <v>295706.78849175503</v>
      </c>
      <c r="AJ31" s="5">
        <f t="shared" si="26"/>
        <v>647.59786679694344</v>
      </c>
      <c r="AK31" s="5">
        <f t="shared" si="29"/>
        <v>1582470.1291484442</v>
      </c>
      <c r="AL31" s="5"/>
      <c r="AM31">
        <f t="shared" si="10"/>
        <v>2026</v>
      </c>
      <c r="AN31" s="10">
        <f t="shared" si="27"/>
        <v>27.6129</v>
      </c>
      <c r="AP31" s="5">
        <f t="shared" si="11"/>
        <v>58.342150161886799</v>
      </c>
      <c r="AQ31" s="14">
        <f t="shared" si="28"/>
        <v>9.2753815837657871</v>
      </c>
      <c r="AR31" s="14">
        <f t="shared" si="12"/>
        <v>57.309088474895582</v>
      </c>
      <c r="AS31" s="14">
        <f t="shared" si="13"/>
        <v>9.1111428417958003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1741788.4888022095</v>
      </c>
      <c r="P32" s="3">
        <f t="shared" si="18"/>
        <v>45000</v>
      </c>
      <c r="Q32" s="3">
        <v>313211.51119779062</v>
      </c>
      <c r="R32" s="3">
        <f t="shared" si="19"/>
        <v>0</v>
      </c>
      <c r="S32" s="19"/>
      <c r="T32" s="10">
        <f t="shared" si="20"/>
        <v>833.33333333333337</v>
      </c>
      <c r="U32" s="16">
        <v>3684.8112686507611</v>
      </c>
      <c r="V32" s="5">
        <f t="shared" si="21"/>
        <v>2403.8420243392247</v>
      </c>
      <c r="W32" s="2">
        <f t="shared" si="22"/>
        <v>74.000047079192697</v>
      </c>
      <c r="X32" s="10">
        <f t="shared" si="30"/>
        <v>7.5947162786323101</v>
      </c>
      <c r="Y32" s="10"/>
      <c r="Z32" s="9">
        <v>11.8</v>
      </c>
      <c r="AA32">
        <f t="shared" si="5"/>
        <v>6.37</v>
      </c>
      <c r="AB32" s="10">
        <f t="shared" si="6"/>
        <v>7.5947162786323101</v>
      </c>
      <c r="AC32" s="11">
        <f t="shared" si="7"/>
        <v>9.1081081081081088</v>
      </c>
      <c r="AD32" s="11">
        <f t="shared" si="23"/>
        <v>34.872824386740419</v>
      </c>
      <c r="AF32" s="5">
        <f t="shared" si="8"/>
        <v>45000</v>
      </c>
      <c r="AG32" s="5">
        <f t="shared" si="9"/>
        <v>50000</v>
      </c>
      <c r="AH32" s="5">
        <f t="shared" si="24"/>
        <v>218211.51119779062</v>
      </c>
      <c r="AI32" s="5">
        <f t="shared" si="25"/>
        <v>313211.51119779062</v>
      </c>
      <c r="AJ32" s="5">
        <f t="shared" si="26"/>
        <v>685.93320952316139</v>
      </c>
      <c r="AK32" s="5">
        <f t="shared" si="29"/>
        <v>1833007.2339267789</v>
      </c>
      <c r="AL32" s="5"/>
      <c r="AM32">
        <f t="shared" si="10"/>
        <v>2027</v>
      </c>
      <c r="AN32" s="10">
        <f t="shared" si="27"/>
        <v>31.448025000000001</v>
      </c>
      <c r="AP32" s="5">
        <f t="shared" si="11"/>
        <v>65.326972335539182</v>
      </c>
      <c r="AQ32" s="14">
        <f t="shared" si="28"/>
        <v>10.385846158273321</v>
      </c>
      <c r="AR32" s="14">
        <f t="shared" si="12"/>
        <v>58.286879189608214</v>
      </c>
      <c r="AS32" s="14">
        <f t="shared" si="13"/>
        <v>9.2665944657564729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781813.64641523035</v>
      </c>
      <c r="P33" s="3">
        <f t="shared" si="18"/>
        <v>35000</v>
      </c>
      <c r="Q33" s="3">
        <v>283186.35358476965</v>
      </c>
      <c r="R33" s="3">
        <f t="shared" si="19"/>
        <v>0</v>
      </c>
      <c r="S33" s="19"/>
      <c r="T33" s="10">
        <f t="shared" si="20"/>
        <v>625</v>
      </c>
      <c r="U33" s="16">
        <v>3085.9039421082334</v>
      </c>
      <c r="V33" s="5">
        <f t="shared" si="21"/>
        <v>1881.1889006759243</v>
      </c>
      <c r="W33" s="2">
        <f t="shared" si="22"/>
        <v>78.261641610479998</v>
      </c>
      <c r="X33" s="10">
        <f t="shared" si="30"/>
        <v>4.2148521474998999</v>
      </c>
      <c r="Y33" s="10"/>
      <c r="Z33" s="9">
        <v>11.8</v>
      </c>
      <c r="AA33">
        <f t="shared" si="5"/>
        <v>6.5200000000000005</v>
      </c>
      <c r="AB33" s="10">
        <f t="shared" si="6"/>
        <v>4.2148521474998999</v>
      </c>
      <c r="AC33" s="11">
        <f t="shared" si="7"/>
        <v>9.1081081081081088</v>
      </c>
      <c r="AD33" s="11">
        <f t="shared" si="23"/>
        <v>31.64296025560801</v>
      </c>
      <c r="AF33" s="5">
        <f t="shared" si="8"/>
        <v>35000</v>
      </c>
      <c r="AG33" s="5">
        <f t="shared" si="9"/>
        <v>50000</v>
      </c>
      <c r="AH33" s="5">
        <f t="shared" si="24"/>
        <v>198186.35358476965</v>
      </c>
      <c r="AI33" s="5">
        <f t="shared" si="25"/>
        <v>283186.35358476965</v>
      </c>
      <c r="AJ33" s="5">
        <f t="shared" si="26"/>
        <v>620.17811435064561</v>
      </c>
      <c r="AK33" s="5">
        <f t="shared" si="29"/>
        <v>2059527.2901933521</v>
      </c>
      <c r="AL33" s="5"/>
      <c r="AM33">
        <f t="shared" si="10"/>
        <v>2028</v>
      </c>
      <c r="AN33" s="10">
        <f t="shared" si="27"/>
        <v>34.917900000000003</v>
      </c>
      <c r="AP33" s="5">
        <f t="shared" si="11"/>
        <v>65.281906773752169</v>
      </c>
      <c r="AQ33" s="14">
        <f t="shared" si="28"/>
        <v>10.378681522059168</v>
      </c>
      <c r="AR33" s="14">
        <f t="shared" si="12"/>
        <v>58.981991763346365</v>
      </c>
      <c r="AS33" s="14">
        <f t="shared" si="13"/>
        <v>9.3771052087991045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25000</v>
      </c>
      <c r="Q34" s="3">
        <v>232124.788491755</v>
      </c>
      <c r="R34" s="3">
        <f t="shared" si="19"/>
        <v>0</v>
      </c>
      <c r="S34" s="19"/>
      <c r="T34" s="10">
        <f t="shared" si="20"/>
        <v>750</v>
      </c>
      <c r="U34" s="16">
        <v>3316.3271072769385</v>
      </c>
      <c r="V34" s="5">
        <f t="shared" si="21"/>
        <v>1947.106437399844</v>
      </c>
      <c r="W34" s="2">
        <f t="shared" si="22"/>
        <v>74.000007518036313</v>
      </c>
      <c r="X34" s="10">
        <f t="shared" si="30"/>
        <v>5.5365351970136638</v>
      </c>
      <c r="Y34" s="10"/>
      <c r="Z34" s="9">
        <v>11.8</v>
      </c>
      <c r="AA34">
        <f t="shared" si="5"/>
        <v>6.64</v>
      </c>
      <c r="AB34" s="10">
        <f t="shared" si="6"/>
        <v>5.5365351970136638</v>
      </c>
      <c r="AC34" s="11">
        <f t="shared" si="7"/>
        <v>9.1081081081081088</v>
      </c>
      <c r="AD34" s="11">
        <f t="shared" si="23"/>
        <v>33.084643305121773</v>
      </c>
      <c r="AF34" s="5">
        <f t="shared" si="8"/>
        <v>25000</v>
      </c>
      <c r="AG34" s="5">
        <f t="shared" si="9"/>
        <v>0</v>
      </c>
      <c r="AH34" s="5">
        <f t="shared" si="24"/>
        <v>207124.788491755</v>
      </c>
      <c r="AI34" s="5">
        <f t="shared" si="25"/>
        <v>232124.788491755</v>
      </c>
      <c r="AJ34" s="5">
        <f t="shared" si="26"/>
        <v>508.35328679694339</v>
      </c>
      <c r="AK34" s="5">
        <f t="shared" si="29"/>
        <v>2245203.3281959356</v>
      </c>
      <c r="AL34" s="5"/>
      <c r="AM34">
        <f t="shared" si="10"/>
        <v>2029</v>
      </c>
      <c r="AN34" s="10">
        <f t="shared" si="27"/>
        <v>37.657275000000006</v>
      </c>
      <c r="AP34" s="5">
        <f t="shared" si="11"/>
        <v>67.780438239592456</v>
      </c>
      <c r="AQ34" s="14">
        <f t="shared" si="28"/>
        <v>10.775904330618832</v>
      </c>
      <c r="AR34" s="14">
        <f t="shared" si="12"/>
        <v>59.622033941540785</v>
      </c>
      <c r="AS34" s="14">
        <f t="shared" si="13"/>
        <v>9.4788607220255621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20000</v>
      </c>
      <c r="Q35" s="3">
        <v>224655.57707523214</v>
      </c>
      <c r="R35" s="3">
        <f t="shared" si="19"/>
        <v>0</v>
      </c>
      <c r="S35" s="19"/>
      <c r="T35" s="10">
        <f t="shared" si="20"/>
        <v>708.33333333333337</v>
      </c>
      <c r="U35" s="16">
        <v>3213.4728917920038</v>
      </c>
      <c r="V35" s="5">
        <f t="shared" si="21"/>
        <v>1881.1933062261235</v>
      </c>
      <c r="W35" s="2">
        <f t="shared" si="22"/>
        <v>75.095008132178194</v>
      </c>
      <c r="X35" s="10">
        <f t="shared" si="30"/>
        <v>4.978275291122876</v>
      </c>
      <c r="Y35" s="10"/>
      <c r="Z35" s="9">
        <v>11.8</v>
      </c>
      <c r="AA35">
        <f t="shared" si="5"/>
        <v>6.8</v>
      </c>
      <c r="AB35" s="10">
        <f t="shared" si="6"/>
        <v>4.978275291122876</v>
      </c>
      <c r="AC35" s="11">
        <f t="shared" si="7"/>
        <v>9.1081081081081088</v>
      </c>
      <c r="AD35" s="11">
        <f t="shared" si="23"/>
        <v>32.686383399230991</v>
      </c>
      <c r="AF35" s="5">
        <f t="shared" si="8"/>
        <v>20000</v>
      </c>
      <c r="AG35" s="5">
        <f t="shared" si="9"/>
        <v>0</v>
      </c>
      <c r="AH35" s="5">
        <f t="shared" si="24"/>
        <v>204655.57707523214</v>
      </c>
      <c r="AI35" s="5">
        <f t="shared" si="25"/>
        <v>224655.57707523214</v>
      </c>
      <c r="AJ35" s="5">
        <f t="shared" si="26"/>
        <v>491.99571379475839</v>
      </c>
      <c r="AK35" s="5">
        <f t="shared" si="29"/>
        <v>2424904.762659471</v>
      </c>
      <c r="AL35" s="5"/>
      <c r="AM35">
        <f t="shared" si="10"/>
        <v>2030</v>
      </c>
      <c r="AN35" s="10">
        <f t="shared" si="27"/>
        <v>40.579275000000003</v>
      </c>
      <c r="AP35" s="5">
        <f t="shared" si="11"/>
        <v>61.499464224344798</v>
      </c>
      <c r="AQ35" s="14">
        <f t="shared" si="28"/>
        <v>9.7773393043473451</v>
      </c>
      <c r="AR35" s="14">
        <f t="shared" si="12"/>
        <v>59.757222440752599</v>
      </c>
      <c r="AS35" s="14">
        <f t="shared" si="13"/>
        <v>9.5003533292134499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289519.64641523035</v>
      </c>
      <c r="P36" s="3">
        <f t="shared" si="18"/>
        <v>30000</v>
      </c>
      <c r="Q36" s="3">
        <v>280480.35358476965</v>
      </c>
      <c r="R36" s="3">
        <f t="shared" si="19"/>
        <v>0</v>
      </c>
      <c r="S36" s="19"/>
      <c r="T36" s="10">
        <f t="shared" si="20"/>
        <v>625</v>
      </c>
      <c r="U36" s="16">
        <v>3085.9039421082334</v>
      </c>
      <c r="V36" s="5">
        <f t="shared" si="21"/>
        <v>1881.1889006759243</v>
      </c>
      <c r="W36" s="2">
        <f t="shared" si="22"/>
        <v>78.261641610479998</v>
      </c>
      <c r="X36" s="10">
        <f t="shared" si="30"/>
        <v>4.2148521474998999</v>
      </c>
      <c r="Y36" s="10"/>
      <c r="Z36" s="9">
        <v>11.8</v>
      </c>
      <c r="AA36">
        <f t="shared" si="5"/>
        <v>6.89</v>
      </c>
      <c r="AB36" s="10">
        <f t="shared" si="6"/>
        <v>4.2148521474998999</v>
      </c>
      <c r="AC36" s="11">
        <f t="shared" si="7"/>
        <v>9.1081081081081088</v>
      </c>
      <c r="AD36" s="11">
        <f t="shared" si="23"/>
        <v>32.012960255608007</v>
      </c>
      <c r="AF36" s="5">
        <f t="shared" si="8"/>
        <v>30000</v>
      </c>
      <c r="AG36" s="5">
        <f t="shared" si="9"/>
        <v>50000</v>
      </c>
      <c r="AH36" s="5">
        <f t="shared" si="24"/>
        <v>200480.35358476965</v>
      </c>
      <c r="AI36" s="5">
        <f t="shared" si="25"/>
        <v>280480.35358476965</v>
      </c>
      <c r="AJ36" s="5">
        <f t="shared" si="26"/>
        <v>614.25197435064558</v>
      </c>
      <c r="AK36" s="5">
        <f t="shared" si="29"/>
        <v>2649260.2962910444</v>
      </c>
      <c r="AL36" s="5"/>
      <c r="AM36">
        <f t="shared" si="10"/>
        <v>2031</v>
      </c>
      <c r="AN36" s="10">
        <f t="shared" si="27"/>
        <v>43.136025000000004</v>
      </c>
      <c r="AP36" s="5">
        <f t="shared" si="11"/>
        <v>87.750282050092224</v>
      </c>
      <c r="AQ36" s="14">
        <f t="shared" si="28"/>
        <v>13.950760262335807</v>
      </c>
      <c r="AR36" s="14">
        <f t="shared" si="12"/>
        <v>61.416421570857402</v>
      </c>
      <c r="AS36" s="14">
        <f t="shared" si="13"/>
        <v>9.7641369746991096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5.9924999999999997</v>
      </c>
      <c r="AB38" s="11">
        <f t="shared" si="31"/>
        <v>4.9139042618915232</v>
      </c>
      <c r="AC38" s="11">
        <f t="shared" si="31"/>
        <v>9.1081081081081106</v>
      </c>
      <c r="AD38" s="11">
        <f t="shared" si="31"/>
        <v>31.814512369999633</v>
      </c>
      <c r="AF38" s="2">
        <f t="shared" ref="AF38:AI38" si="32">AVERAGE(AF25:AF36)</f>
        <v>35083.333333333336</v>
      </c>
      <c r="AG38" s="2">
        <f t="shared" si="32"/>
        <v>41666.666666666664</v>
      </c>
      <c r="AH38" s="2">
        <f t="shared" si="32"/>
        <v>199249.97669399774</v>
      </c>
      <c r="AI38" s="2">
        <f t="shared" si="32"/>
        <v>275999.97669399774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10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85989-40AB-458B-A197-BAE0F94C7910}">
  <sheetPr codeName="Sheet5">
    <tabColor rgb="FFFF0000"/>
  </sheetPr>
  <dimension ref="A1:AZ50"/>
  <sheetViews>
    <sheetView topLeftCell="AE16" zoomScaleNormal="100" workbookViewId="0">
      <selection activeCell="AS36" sqref="AS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5.0000000000000001E-3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1024625.6083670076</v>
      </c>
      <c r="P25" s="3">
        <f>C25*$P$22</f>
        <v>17500</v>
      </c>
      <c r="Q25" s="3">
        <v>257874.39163299243</v>
      </c>
      <c r="R25" s="3">
        <f>Q25-AI25</f>
        <v>0</v>
      </c>
      <c r="S25" s="19"/>
      <c r="T25" s="10">
        <f>L25/24</f>
        <v>666.66666666666663</v>
      </c>
      <c r="U25" s="16">
        <v>3147.4757617926371</v>
      </c>
      <c r="V25" s="5">
        <f>LinearInterpolation(T25/U25,$AE$6:$AE$11,$AF$6:$AF$11)*U25*U25</f>
        <v>1881.1899105542932</v>
      </c>
      <c r="W25" s="2">
        <f>LinearInterpolation(T25/U25,$AE$6:$AE$11,$AC$6:$AC$11)</f>
        <v>76.74221647768853</v>
      </c>
      <c r="X25" s="10">
        <f t="shared" ref="X25:X26" si="4">V25*T25/60/60*$S$14*10/(W25/100)/1000000*IF(V25&lt;$S$18,NA(),1)</f>
        <v>4.5848582843100267</v>
      </c>
      <c r="Z25" s="9">
        <v>11.8</v>
      </c>
      <c r="AA25">
        <f t="shared" ref="AA25:AA36" si="5">LinearInterpolation(K25,$A$5:$A$19,$B$5:$B$19)</f>
        <v>4.8899999999999997</v>
      </c>
      <c r="AB25" s="10">
        <f t="shared" ref="AB25:AB36" si="6">X25</f>
        <v>4.5848582843100267</v>
      </c>
      <c r="AC25" s="11">
        <f t="shared" ref="AC25:AC36" si="7">LinearInterpolation(M25,$P$5:$P$11,$Q$5:$Q$11)</f>
        <v>9.1081081081081088</v>
      </c>
      <c r="AD25" s="11">
        <f>SUM(Z25:AC25)</f>
        <v>30.382966392418137</v>
      </c>
      <c r="AF25" s="5">
        <f t="shared" ref="AF25:AF36" si="8">P25</f>
        <v>17500</v>
      </c>
      <c r="AG25" s="5">
        <f t="shared" ref="AG25:AG36" si="9">LinearInterpolation(O25,$D$5:$D$9,$E$5:$E$9)</f>
        <v>50000</v>
      </c>
      <c r="AH25" s="5">
        <f>LinearInterpolation(AD25,$H$5:$H$10,$I$5:$I$10)</f>
        <v>190374.39163299243</v>
      </c>
      <c r="AI25" s="5">
        <f>SUM(AF25:AH25)</f>
        <v>257874.39163299243</v>
      </c>
      <c r="AJ25" s="5">
        <f>$AG$18*AI25/1000</f>
        <v>564.74491767625341</v>
      </c>
      <c r="AK25" s="5">
        <f>AJ25*365.25</f>
        <v>206273.08118125156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45.179593414100268</v>
      </c>
      <c r="AQ25" s="14">
        <f>AP25/6.29</f>
        <v>7.1827652486645892</v>
      </c>
      <c r="AR25" s="14">
        <f t="shared" ref="AR25:AR36" si="12">AK25/AN25/1000</f>
        <v>45.179593414100275</v>
      </c>
      <c r="AS25" s="14">
        <f t="shared" ref="AS25:AS36" si="13">AR25/6.29</f>
        <v>7.1827652486645901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1125175.6517042136</v>
      </c>
      <c r="P26" s="3">
        <f t="shared" ref="P26:P36" si="18">C26*$P$22</f>
        <v>18000</v>
      </c>
      <c r="Q26" s="3">
        <v>256824.34829578636</v>
      </c>
      <c r="R26" s="3">
        <f t="shared" ref="R26:R36" si="19">Q26-AI26</f>
        <v>0</v>
      </c>
      <c r="S26" s="19"/>
      <c r="T26" s="10">
        <f t="shared" ref="T26:T36" si="20">L26/24</f>
        <v>625</v>
      </c>
      <c r="U26" s="16">
        <v>3085.9036837575395</v>
      </c>
      <c r="V26" s="5">
        <f t="shared" ref="V26:V36" si="21">LinearInterpolation(T26/U26,$AE$6:$AE$11,$AF$6:$AF$11)*U26*U26</f>
        <v>1881.1884803931912</v>
      </c>
      <c r="W26" s="2">
        <f t="shared" ref="W26:W36" si="22">LinearInterpolation(T26/U26,$AE$6:$AE$11,$AC$6:$AC$11)</f>
        <v>78.261639965489337</v>
      </c>
      <c r="X26" s="10">
        <f t="shared" si="4"/>
        <v>4.214851294438076</v>
      </c>
      <c r="Z26" s="9">
        <v>11.8</v>
      </c>
      <c r="AA26">
        <f t="shared" si="5"/>
        <v>5.01</v>
      </c>
      <c r="AB26" s="10">
        <f t="shared" si="6"/>
        <v>4.214851294438076</v>
      </c>
      <c r="AC26" s="11">
        <f t="shared" si="7"/>
        <v>9.1081081081081088</v>
      </c>
      <c r="AD26" s="11">
        <f t="shared" ref="AD26:AD36" si="23">SUM(Z26:AC26)</f>
        <v>30.132959402546188</v>
      </c>
      <c r="AF26" s="5">
        <f t="shared" si="8"/>
        <v>18000</v>
      </c>
      <c r="AG26" s="5">
        <f t="shared" si="9"/>
        <v>50000</v>
      </c>
      <c r="AH26" s="5">
        <f t="shared" ref="AH26:AH36" si="24">LinearInterpolation(AD26,$H$5:$H$10,$I$5:$I$10)</f>
        <v>188824.34829578636</v>
      </c>
      <c r="AI26" s="5">
        <f t="shared" ref="AI26:AI36" si="25">SUM(AF26:AH26)</f>
        <v>256824.34829578636</v>
      </c>
      <c r="AJ26" s="5">
        <f t="shared" ref="AJ26:AJ36" si="26">$AG$18*AI26/1000</f>
        <v>562.44532276777215</v>
      </c>
      <c r="AK26" s="5">
        <f>AJ26*365.25+AK25</f>
        <v>411706.23532218032</v>
      </c>
      <c r="AL26" s="5"/>
      <c r="AM26">
        <f t="shared" si="10"/>
        <v>2021</v>
      </c>
      <c r="AN26" s="10">
        <f t="shared" ref="AN26:AN36" si="27">J26*0.00036525+AN25</f>
        <v>8.8025249999999993</v>
      </c>
      <c r="AP26" s="5">
        <f t="shared" si="11"/>
        <v>48.486665755842424</v>
      </c>
      <c r="AQ26" s="14">
        <f t="shared" ref="AQ26:AQ36" si="28">AP26/6.29</f>
        <v>7.7085319166681119</v>
      </c>
      <c r="AR26" s="14">
        <f t="shared" si="12"/>
        <v>46.771379271536333</v>
      </c>
      <c r="AS26" s="14">
        <f t="shared" si="13"/>
        <v>7.4358313627243771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1228721.3471784804</v>
      </c>
      <c r="P27" s="3">
        <f t="shared" si="18"/>
        <v>18500</v>
      </c>
      <c r="Q27" s="3">
        <v>252778.65282151973</v>
      </c>
      <c r="R27" s="3">
        <f t="shared" si="19"/>
        <v>0</v>
      </c>
      <c r="S27" s="19"/>
      <c r="T27" s="10">
        <f t="shared" si="20"/>
        <v>500</v>
      </c>
      <c r="U27" s="16">
        <v>2954.6787816706037</v>
      </c>
      <c r="V27" s="5">
        <f t="shared" si="21"/>
        <v>1881.1885799087067</v>
      </c>
      <c r="W27" s="2">
        <f t="shared" si="22"/>
        <v>78.499255452884213</v>
      </c>
      <c r="X27" s="10">
        <f>V27*T27/60/60*$S$14*10/(W27/100)/1000000*IF(V27&lt;$S$18,NA(),1)</f>
        <v>3.3616746050402337</v>
      </c>
      <c r="Y27" s="10"/>
      <c r="Z27" s="9">
        <v>11.8</v>
      </c>
      <c r="AA27">
        <f t="shared" si="5"/>
        <v>5.13</v>
      </c>
      <c r="AB27" s="10">
        <f t="shared" si="6"/>
        <v>3.3616746050402337</v>
      </c>
      <c r="AC27" s="11">
        <f t="shared" si="7"/>
        <v>9.1081081081081088</v>
      </c>
      <c r="AD27" s="11">
        <f t="shared" si="23"/>
        <v>29.399782713148344</v>
      </c>
      <c r="AF27" s="5">
        <f t="shared" si="8"/>
        <v>18500</v>
      </c>
      <c r="AG27" s="5">
        <f t="shared" si="9"/>
        <v>50000</v>
      </c>
      <c r="AH27" s="5">
        <f t="shared" si="24"/>
        <v>184278.65282151973</v>
      </c>
      <c r="AI27" s="5">
        <f t="shared" si="25"/>
        <v>252778.65282151973</v>
      </c>
      <c r="AJ27" s="5">
        <f t="shared" si="26"/>
        <v>553.5852496791282</v>
      </c>
      <c r="AK27" s="5">
        <f t="shared" ref="AK27:AK36" si="29">AJ27*365.25+AK26</f>
        <v>613903.24776748195</v>
      </c>
      <c r="AL27" s="5"/>
      <c r="AM27">
        <f t="shared" si="10"/>
        <v>2022</v>
      </c>
      <c r="AN27" s="10">
        <f t="shared" si="27"/>
        <v>12.710699999999999</v>
      </c>
      <c r="AP27" s="5">
        <f t="shared" si="11"/>
        <v>51.736939222348425</v>
      </c>
      <c r="AQ27" s="14">
        <f t="shared" si="28"/>
        <v>8.22526855681215</v>
      </c>
      <c r="AR27" s="14">
        <f t="shared" si="12"/>
        <v>48.298146267906723</v>
      </c>
      <c r="AS27" s="14">
        <f t="shared" si="13"/>
        <v>7.6785606149295269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1219765.6517042136</v>
      </c>
      <c r="P28" s="3">
        <f t="shared" si="18"/>
        <v>19000</v>
      </c>
      <c r="Q28" s="3">
        <v>261234.34829578636</v>
      </c>
      <c r="R28" s="3">
        <f t="shared" si="19"/>
        <v>0</v>
      </c>
      <c r="S28" s="19"/>
      <c r="T28" s="10">
        <f t="shared" si="20"/>
        <v>625</v>
      </c>
      <c r="U28" s="16">
        <v>3085.9036837575395</v>
      </c>
      <c r="V28" s="5">
        <f t="shared" si="21"/>
        <v>1881.1884803931912</v>
      </c>
      <c r="W28" s="2">
        <f t="shared" si="22"/>
        <v>78.261639965489337</v>
      </c>
      <c r="X28" s="10">
        <f t="shared" ref="X28:X36" si="30">V28*T28/60/60*$S$14*10/(W28/100)/1000000*IF(V28&lt;$S$18,NA(),1)</f>
        <v>4.214851294438076</v>
      </c>
      <c r="Y28" s="10"/>
      <c r="Z28" s="9">
        <v>11.8</v>
      </c>
      <c r="AA28">
        <f t="shared" si="5"/>
        <v>5.5600000000000005</v>
      </c>
      <c r="AB28" s="10">
        <f t="shared" si="6"/>
        <v>4.214851294438076</v>
      </c>
      <c r="AC28" s="11">
        <f t="shared" si="7"/>
        <v>9.1081081081081088</v>
      </c>
      <c r="AD28" s="11">
        <f t="shared" si="23"/>
        <v>30.682959402546185</v>
      </c>
      <c r="AF28" s="5">
        <f t="shared" si="8"/>
        <v>19000</v>
      </c>
      <c r="AG28" s="5">
        <f t="shared" si="9"/>
        <v>50000</v>
      </c>
      <c r="AH28" s="5">
        <f t="shared" si="24"/>
        <v>192234.34829578636</v>
      </c>
      <c r="AI28" s="5">
        <f t="shared" si="25"/>
        <v>261234.34829578636</v>
      </c>
      <c r="AJ28" s="5">
        <f t="shared" si="26"/>
        <v>572.10322276777219</v>
      </c>
      <c r="AK28" s="5">
        <f t="shared" si="29"/>
        <v>822863.94988341071</v>
      </c>
      <c r="AL28" s="5"/>
      <c r="AM28">
        <f t="shared" si="10"/>
        <v>2023</v>
      </c>
      <c r="AN28" s="10">
        <f t="shared" si="27"/>
        <v>16.290150000000001</v>
      </c>
      <c r="AP28" s="5">
        <f t="shared" si="11"/>
        <v>58.377879874262462</v>
      </c>
      <c r="AQ28" s="14">
        <f t="shared" si="28"/>
        <v>9.2810619831895806</v>
      </c>
      <c r="AR28" s="14">
        <f t="shared" si="12"/>
        <v>50.512975625357079</v>
      </c>
      <c r="AS28" s="14">
        <f t="shared" si="13"/>
        <v>8.0306797496593134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1313040.485319772</v>
      </c>
      <c r="P29" s="3">
        <f t="shared" si="18"/>
        <v>19500</v>
      </c>
      <c r="Q29" s="3">
        <v>267459.51468022791</v>
      </c>
      <c r="R29" s="3">
        <f t="shared" si="19"/>
        <v>0</v>
      </c>
      <c r="S29" s="19"/>
      <c r="T29" s="10">
        <f t="shared" si="20"/>
        <v>708.33333333333337</v>
      </c>
      <c r="U29" s="16">
        <v>3213.4703169263439</v>
      </c>
      <c r="V29" s="5">
        <f>LinearInterpolation(T29/U29,$AE$6:$AE$11,$AF$6:$AF$11)*U29*U29</f>
        <v>1881.1886574844573</v>
      </c>
      <c r="W29" s="2">
        <f t="shared" si="22"/>
        <v>75.094974366322418</v>
      </c>
      <c r="X29" s="10">
        <f t="shared" si="30"/>
        <v>4.9782652274125256</v>
      </c>
      <c r="Y29" s="10"/>
      <c r="Z29" s="9">
        <v>11.8</v>
      </c>
      <c r="AA29">
        <f t="shared" si="5"/>
        <v>5.72</v>
      </c>
      <c r="AB29" s="10">
        <f t="shared" si="6"/>
        <v>4.9782652274125256</v>
      </c>
      <c r="AC29" s="11">
        <f t="shared" si="7"/>
        <v>9.1081081081081088</v>
      </c>
      <c r="AD29" s="11">
        <f t="shared" si="23"/>
        <v>31.606373335520633</v>
      </c>
      <c r="AF29" s="5">
        <f t="shared" si="8"/>
        <v>19500</v>
      </c>
      <c r="AG29" s="5">
        <f t="shared" si="9"/>
        <v>50000</v>
      </c>
      <c r="AH29" s="5">
        <f t="shared" si="24"/>
        <v>197959.51468022791</v>
      </c>
      <c r="AI29" s="5">
        <f t="shared" si="25"/>
        <v>267459.51468022791</v>
      </c>
      <c r="AJ29" s="5">
        <f t="shared" si="26"/>
        <v>585.73633714969912</v>
      </c>
      <c r="AK29" s="5">
        <f t="shared" si="29"/>
        <v>1036804.1470273383</v>
      </c>
      <c r="AL29" s="5"/>
      <c r="AM29">
        <f t="shared" si="10"/>
        <v>2024</v>
      </c>
      <c r="AN29" s="10">
        <f t="shared" si="27"/>
        <v>19.906124999999999</v>
      </c>
      <c r="AP29" s="5">
        <f t="shared" si="11"/>
        <v>59.165286580777689</v>
      </c>
      <c r="AQ29" s="14">
        <f t="shared" si="28"/>
        <v>9.4062458792969306</v>
      </c>
      <c r="AR29" s="14">
        <f t="shared" si="12"/>
        <v>52.084679817259172</v>
      </c>
      <c r="AS29" s="14">
        <f t="shared" si="13"/>
        <v>8.2805532300888984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1306037.2212366522</v>
      </c>
      <c r="P30" s="3">
        <f t="shared" si="18"/>
        <v>20000</v>
      </c>
      <c r="Q30" s="3">
        <v>273962.77876334783</v>
      </c>
      <c r="R30" s="3">
        <f t="shared" si="19"/>
        <v>0</v>
      </c>
      <c r="S30" s="19"/>
      <c r="T30" s="10">
        <f t="shared" si="20"/>
        <v>750</v>
      </c>
      <c r="U30" s="16">
        <v>3316.3267401679468</v>
      </c>
      <c r="V30" s="5">
        <f t="shared" si="21"/>
        <v>1947.1057596431071</v>
      </c>
      <c r="W30" s="2">
        <f t="shared" si="22"/>
        <v>74.000002731999317</v>
      </c>
      <c r="X30" s="10">
        <f t="shared" si="30"/>
        <v>5.536533627915734</v>
      </c>
      <c r="Y30" s="10"/>
      <c r="Z30" s="9">
        <v>11.8</v>
      </c>
      <c r="AA30">
        <f t="shared" si="5"/>
        <v>6.13</v>
      </c>
      <c r="AB30" s="10">
        <f t="shared" si="6"/>
        <v>5.536533627915734</v>
      </c>
      <c r="AC30" s="11">
        <f t="shared" si="7"/>
        <v>9.1081081081081088</v>
      </c>
      <c r="AD30" s="11">
        <f t="shared" si="23"/>
        <v>32.574641736023842</v>
      </c>
      <c r="AF30" s="5">
        <f t="shared" si="8"/>
        <v>20000</v>
      </c>
      <c r="AG30" s="5">
        <f t="shared" si="9"/>
        <v>50000</v>
      </c>
      <c r="AH30" s="5">
        <f t="shared" si="24"/>
        <v>203962.77876334783</v>
      </c>
      <c r="AI30" s="5">
        <f t="shared" si="25"/>
        <v>273962.77876334783</v>
      </c>
      <c r="AJ30" s="5">
        <f t="shared" si="26"/>
        <v>599.97848549173182</v>
      </c>
      <c r="AK30" s="5">
        <f t="shared" si="29"/>
        <v>1255946.2888531934</v>
      </c>
      <c r="AL30" s="5"/>
      <c r="AM30">
        <f t="shared" si="10"/>
        <v>2024</v>
      </c>
      <c r="AN30" s="10">
        <f t="shared" si="27"/>
        <v>23.558624999999999</v>
      </c>
      <c r="AP30" s="5">
        <f t="shared" si="11"/>
        <v>59.997848549173177</v>
      </c>
      <c r="AQ30" s="14">
        <f t="shared" si="28"/>
        <v>9.5386086723645747</v>
      </c>
      <c r="AR30" s="14">
        <f t="shared" si="12"/>
        <v>53.311527682672207</v>
      </c>
      <c r="AS30" s="14">
        <f t="shared" si="13"/>
        <v>8.4756005854804783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1404293.2212366522</v>
      </c>
      <c r="P31" s="3">
        <f t="shared" si="18"/>
        <v>20500</v>
      </c>
      <c r="Q31" s="3">
        <v>275206.77876334777</v>
      </c>
      <c r="R31" s="3">
        <f t="shared" si="19"/>
        <v>0</v>
      </c>
      <c r="S31" s="19"/>
      <c r="T31" s="10">
        <f t="shared" si="20"/>
        <v>750</v>
      </c>
      <c r="U31" s="16">
        <v>3316.3267401679468</v>
      </c>
      <c r="V31" s="5">
        <f>LinearInterpolation(T31/U31,$AE$6:$AE$11,$AF$6:$AF$11)*U31*U31</f>
        <v>1947.1057596431071</v>
      </c>
      <c r="W31" s="2">
        <f t="shared" si="22"/>
        <v>74.000002731999317</v>
      </c>
      <c r="X31" s="10">
        <f t="shared" si="30"/>
        <v>5.536533627915734</v>
      </c>
      <c r="Y31" s="10"/>
      <c r="Z31" s="9">
        <v>11.8</v>
      </c>
      <c r="AA31">
        <f t="shared" si="5"/>
        <v>6.25</v>
      </c>
      <c r="AB31" s="10">
        <f t="shared" si="6"/>
        <v>5.536533627915734</v>
      </c>
      <c r="AC31" s="11">
        <f t="shared" si="7"/>
        <v>9.1081081081081088</v>
      </c>
      <c r="AD31" s="11">
        <f t="shared" si="23"/>
        <v>32.69464173602384</v>
      </c>
      <c r="AF31" s="5">
        <f t="shared" si="8"/>
        <v>20500</v>
      </c>
      <c r="AG31" s="5">
        <f t="shared" si="9"/>
        <v>50000</v>
      </c>
      <c r="AH31" s="5">
        <f t="shared" si="24"/>
        <v>204706.7787633478</v>
      </c>
      <c r="AI31" s="5">
        <f t="shared" si="25"/>
        <v>275206.77876334777</v>
      </c>
      <c r="AJ31" s="5">
        <f t="shared" si="26"/>
        <v>602.70284549173164</v>
      </c>
      <c r="AK31" s="5">
        <f t="shared" si="29"/>
        <v>1476083.5031690483</v>
      </c>
      <c r="AL31" s="5"/>
      <c r="AM31">
        <f t="shared" si="10"/>
        <v>2026</v>
      </c>
      <c r="AN31" s="10">
        <f t="shared" si="27"/>
        <v>27.6129</v>
      </c>
      <c r="AP31" s="5">
        <f t="shared" si="11"/>
        <v>54.297553647903754</v>
      </c>
      <c r="AQ31" s="14">
        <f t="shared" si="28"/>
        <v>8.6323614702549687</v>
      </c>
      <c r="AR31" s="14">
        <f t="shared" si="12"/>
        <v>53.456301336297464</v>
      </c>
      <c r="AS31" s="14">
        <f t="shared" si="13"/>
        <v>8.4986170645941908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1786788.6068541524</v>
      </c>
      <c r="P32" s="3">
        <f t="shared" si="18"/>
        <v>22500</v>
      </c>
      <c r="Q32" s="3">
        <v>290711.3931458476</v>
      </c>
      <c r="R32" s="3">
        <f t="shared" si="19"/>
        <v>0</v>
      </c>
      <c r="S32" s="19"/>
      <c r="T32" s="10">
        <f t="shared" si="20"/>
        <v>833.33333333333337</v>
      </c>
      <c r="U32" s="16">
        <v>3684.8076602792926</v>
      </c>
      <c r="V32" s="5">
        <f t="shared" si="21"/>
        <v>2403.8346223604281</v>
      </c>
      <c r="W32" s="2">
        <f t="shared" si="22"/>
        <v>74.000004740800506</v>
      </c>
      <c r="X32" s="10">
        <f t="shared" si="30"/>
        <v>7.594697237996348</v>
      </c>
      <c r="Y32" s="10"/>
      <c r="Z32" s="9">
        <v>11.8</v>
      </c>
      <c r="AA32">
        <f t="shared" si="5"/>
        <v>6.37</v>
      </c>
      <c r="AB32" s="10">
        <f t="shared" si="6"/>
        <v>7.594697237996348</v>
      </c>
      <c r="AC32" s="11">
        <f t="shared" si="7"/>
        <v>9.1081081081081088</v>
      </c>
      <c r="AD32" s="11">
        <f t="shared" si="23"/>
        <v>34.872805346104457</v>
      </c>
      <c r="AF32" s="5">
        <f t="shared" si="8"/>
        <v>22500</v>
      </c>
      <c r="AG32" s="5">
        <f t="shared" si="9"/>
        <v>50000</v>
      </c>
      <c r="AH32" s="5">
        <f t="shared" si="24"/>
        <v>218211.39314584763</v>
      </c>
      <c r="AI32" s="5">
        <f t="shared" si="25"/>
        <v>290711.3931458476</v>
      </c>
      <c r="AJ32" s="5">
        <f t="shared" si="26"/>
        <v>636.65795098940623</v>
      </c>
      <c r="AK32" s="5">
        <f t="shared" si="29"/>
        <v>1708622.8197679289</v>
      </c>
      <c r="AL32" s="5"/>
      <c r="AM32">
        <f t="shared" si="10"/>
        <v>2027</v>
      </c>
      <c r="AN32" s="10">
        <f t="shared" si="27"/>
        <v>31.448025000000001</v>
      </c>
      <c r="AP32" s="5">
        <f t="shared" si="11"/>
        <v>60.634090570419637</v>
      </c>
      <c r="AQ32" s="14">
        <f t="shared" si="28"/>
        <v>9.6397600270937414</v>
      </c>
      <c r="AR32" s="14">
        <f t="shared" si="12"/>
        <v>54.331641486800166</v>
      </c>
      <c r="AS32" s="14">
        <f t="shared" si="13"/>
        <v>8.6377808405087695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816813.65170421358</v>
      </c>
      <c r="P33" s="3">
        <f t="shared" si="18"/>
        <v>17500</v>
      </c>
      <c r="Q33" s="3">
        <v>265686.34829578636</v>
      </c>
      <c r="R33" s="3">
        <f t="shared" si="19"/>
        <v>0</v>
      </c>
      <c r="S33" s="19"/>
      <c r="T33" s="10">
        <f t="shared" si="20"/>
        <v>625</v>
      </c>
      <c r="U33" s="16">
        <v>3085.9036837575395</v>
      </c>
      <c r="V33" s="5">
        <f t="shared" si="21"/>
        <v>1881.1884803931912</v>
      </c>
      <c r="W33" s="2">
        <f t="shared" si="22"/>
        <v>78.261639965489337</v>
      </c>
      <c r="X33" s="10">
        <f t="shared" si="30"/>
        <v>4.214851294438076</v>
      </c>
      <c r="Y33" s="10"/>
      <c r="Z33" s="9">
        <v>11.8</v>
      </c>
      <c r="AA33">
        <f t="shared" si="5"/>
        <v>6.5200000000000005</v>
      </c>
      <c r="AB33" s="10">
        <f t="shared" si="6"/>
        <v>4.214851294438076</v>
      </c>
      <c r="AC33" s="11">
        <f t="shared" si="7"/>
        <v>9.1081081081081088</v>
      </c>
      <c r="AD33" s="11">
        <f t="shared" si="23"/>
        <v>31.642959402546186</v>
      </c>
      <c r="AF33" s="5">
        <f t="shared" si="8"/>
        <v>17500</v>
      </c>
      <c r="AG33" s="5">
        <f t="shared" si="9"/>
        <v>50000</v>
      </c>
      <c r="AH33" s="5">
        <f t="shared" si="24"/>
        <v>198186.34829578636</v>
      </c>
      <c r="AI33" s="5">
        <f t="shared" si="25"/>
        <v>265686.34829578636</v>
      </c>
      <c r="AJ33" s="5">
        <f t="shared" si="26"/>
        <v>581.85310276777216</v>
      </c>
      <c r="AK33" s="5">
        <f t="shared" si="29"/>
        <v>1921144.6655538576</v>
      </c>
      <c r="AL33" s="5"/>
      <c r="AM33">
        <f t="shared" si="10"/>
        <v>2028</v>
      </c>
      <c r="AN33" s="10">
        <f t="shared" si="27"/>
        <v>34.917900000000003</v>
      </c>
      <c r="AP33" s="5">
        <f t="shared" si="11"/>
        <v>61.247695028186541</v>
      </c>
      <c r="AQ33" s="14">
        <f t="shared" si="28"/>
        <v>9.7373124051170965</v>
      </c>
      <c r="AR33" s="14">
        <f t="shared" si="12"/>
        <v>55.018906221561359</v>
      </c>
      <c r="AS33" s="14">
        <f t="shared" si="13"/>
        <v>8.7470439143976719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12500</v>
      </c>
      <c r="Q34" s="3">
        <v>219624.77876334783</v>
      </c>
      <c r="R34" s="3">
        <f t="shared" si="19"/>
        <v>0</v>
      </c>
      <c r="S34" s="19"/>
      <c r="T34" s="10">
        <f t="shared" si="20"/>
        <v>750</v>
      </c>
      <c r="U34" s="16">
        <v>3316.3267401679468</v>
      </c>
      <c r="V34" s="5">
        <f t="shared" si="21"/>
        <v>1947.1057596431071</v>
      </c>
      <c r="W34" s="2">
        <f t="shared" si="22"/>
        <v>74.000002731999317</v>
      </c>
      <c r="X34" s="10">
        <f t="shared" si="30"/>
        <v>5.536533627915734</v>
      </c>
      <c r="Y34" s="10"/>
      <c r="Z34" s="9">
        <v>11.8</v>
      </c>
      <c r="AA34">
        <f t="shared" si="5"/>
        <v>6.64</v>
      </c>
      <c r="AB34" s="10">
        <f t="shared" si="6"/>
        <v>5.536533627915734</v>
      </c>
      <c r="AC34" s="11">
        <f t="shared" si="7"/>
        <v>9.1081081081081088</v>
      </c>
      <c r="AD34" s="11">
        <f t="shared" si="23"/>
        <v>33.084641736023841</v>
      </c>
      <c r="AF34" s="5">
        <f t="shared" si="8"/>
        <v>12500</v>
      </c>
      <c r="AG34" s="5">
        <f t="shared" si="9"/>
        <v>0</v>
      </c>
      <c r="AH34" s="5">
        <f t="shared" si="24"/>
        <v>207124.77876334783</v>
      </c>
      <c r="AI34" s="5">
        <f t="shared" si="25"/>
        <v>219624.77876334783</v>
      </c>
      <c r="AJ34" s="5">
        <f t="shared" si="26"/>
        <v>480.97826549173175</v>
      </c>
      <c r="AK34" s="5">
        <f t="shared" si="29"/>
        <v>2096821.9770247126</v>
      </c>
      <c r="AL34" s="5"/>
      <c r="AM34">
        <f t="shared" si="10"/>
        <v>2029</v>
      </c>
      <c r="AN34" s="10">
        <f t="shared" si="27"/>
        <v>37.657275000000006</v>
      </c>
      <c r="AP34" s="5">
        <f t="shared" si="11"/>
        <v>64.130435398897561</v>
      </c>
      <c r="AQ34" s="14">
        <f t="shared" si="28"/>
        <v>10.19561771047656</v>
      </c>
      <c r="AR34" s="14">
        <f t="shared" si="12"/>
        <v>55.681723571998035</v>
      </c>
      <c r="AS34" s="14">
        <f t="shared" si="13"/>
        <v>8.8524202817166984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10000</v>
      </c>
      <c r="Q35" s="3">
        <v>214655.51468022793</v>
      </c>
      <c r="R35" s="3">
        <f t="shared" si="19"/>
        <v>0</v>
      </c>
      <c r="S35" s="19"/>
      <c r="T35" s="10">
        <f t="shared" si="20"/>
        <v>708.33333333333337</v>
      </c>
      <c r="U35" s="16">
        <v>3213.4703169263439</v>
      </c>
      <c r="V35" s="5">
        <f t="shared" si="21"/>
        <v>1881.1886574844573</v>
      </c>
      <c r="W35" s="2">
        <f t="shared" si="22"/>
        <v>75.094974366322418</v>
      </c>
      <c r="X35" s="10">
        <f t="shared" si="30"/>
        <v>4.9782652274125256</v>
      </c>
      <c r="Y35" s="10"/>
      <c r="Z35" s="9">
        <v>11.8</v>
      </c>
      <c r="AA35">
        <f t="shared" si="5"/>
        <v>6.8</v>
      </c>
      <c r="AB35" s="10">
        <f t="shared" si="6"/>
        <v>4.9782652274125256</v>
      </c>
      <c r="AC35" s="11">
        <f t="shared" si="7"/>
        <v>9.1081081081081088</v>
      </c>
      <c r="AD35" s="11">
        <f t="shared" si="23"/>
        <v>32.686373335520635</v>
      </c>
      <c r="AF35" s="5">
        <f t="shared" si="8"/>
        <v>10000</v>
      </c>
      <c r="AG35" s="5">
        <f t="shared" si="9"/>
        <v>0</v>
      </c>
      <c r="AH35" s="5">
        <f t="shared" si="24"/>
        <v>204655.51468022793</v>
      </c>
      <c r="AI35" s="5">
        <f t="shared" si="25"/>
        <v>214655.51468022793</v>
      </c>
      <c r="AJ35" s="5">
        <f t="shared" si="26"/>
        <v>470.09557714969912</v>
      </c>
      <c r="AK35" s="5">
        <f t="shared" si="29"/>
        <v>2268524.38657864</v>
      </c>
      <c r="AL35" s="5"/>
      <c r="AM35">
        <f t="shared" si="10"/>
        <v>2030</v>
      </c>
      <c r="AN35" s="10">
        <f t="shared" si="27"/>
        <v>40.579275000000003</v>
      </c>
      <c r="AP35" s="5">
        <f t="shared" si="11"/>
        <v>58.761947143712391</v>
      </c>
      <c r="AQ35" s="14">
        <f t="shared" si="28"/>
        <v>9.342121962434403</v>
      </c>
      <c r="AR35" s="14">
        <f t="shared" si="12"/>
        <v>55.903521848989165</v>
      </c>
      <c r="AS35" s="14">
        <f t="shared" si="13"/>
        <v>8.887682328933094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319519.65170421364</v>
      </c>
      <c r="P36" s="3">
        <f t="shared" si="18"/>
        <v>15000</v>
      </c>
      <c r="Q36" s="3">
        <v>265480.34829578636</v>
      </c>
      <c r="R36" s="3">
        <f t="shared" si="19"/>
        <v>0</v>
      </c>
      <c r="S36" s="19"/>
      <c r="T36" s="10">
        <f t="shared" si="20"/>
        <v>625</v>
      </c>
      <c r="U36" s="16">
        <v>3085.9036837575395</v>
      </c>
      <c r="V36" s="5">
        <f t="shared" si="21"/>
        <v>1881.1884803931912</v>
      </c>
      <c r="W36" s="2">
        <f t="shared" si="22"/>
        <v>78.261639965489337</v>
      </c>
      <c r="X36" s="10">
        <f t="shared" si="30"/>
        <v>4.214851294438076</v>
      </c>
      <c r="Y36" s="10"/>
      <c r="Z36" s="9">
        <v>11.8</v>
      </c>
      <c r="AA36">
        <f t="shared" si="5"/>
        <v>6.89</v>
      </c>
      <c r="AB36" s="10">
        <f t="shared" si="6"/>
        <v>4.214851294438076</v>
      </c>
      <c r="AC36" s="11">
        <f t="shared" si="7"/>
        <v>9.1081081081081088</v>
      </c>
      <c r="AD36" s="11">
        <f t="shared" si="23"/>
        <v>32.012959402546187</v>
      </c>
      <c r="AF36" s="5">
        <f t="shared" si="8"/>
        <v>15000</v>
      </c>
      <c r="AG36" s="5">
        <f t="shared" si="9"/>
        <v>50000</v>
      </c>
      <c r="AH36" s="5">
        <f t="shared" si="24"/>
        <v>200480.34829578636</v>
      </c>
      <c r="AI36" s="5">
        <f t="shared" si="25"/>
        <v>265480.34829578636</v>
      </c>
      <c r="AJ36" s="5">
        <f t="shared" si="26"/>
        <v>581.40196276777215</v>
      </c>
      <c r="AK36" s="5">
        <f t="shared" si="29"/>
        <v>2480881.4534795689</v>
      </c>
      <c r="AL36" s="5"/>
      <c r="AM36">
        <f t="shared" si="10"/>
        <v>2031</v>
      </c>
      <c r="AN36" s="10">
        <f t="shared" si="27"/>
        <v>43.136025000000004</v>
      </c>
      <c r="AP36" s="5">
        <f t="shared" si="11"/>
        <v>83.057423252538882</v>
      </c>
      <c r="AQ36" s="14">
        <f t="shared" si="28"/>
        <v>13.204677782597596</v>
      </c>
      <c r="AR36" s="14">
        <f t="shared" si="12"/>
        <v>57.512982558767725</v>
      </c>
      <c r="AS36" s="14">
        <f t="shared" si="13"/>
        <v>9.143558435416173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5.9924999999999997</v>
      </c>
      <c r="AB38" s="11">
        <f t="shared" si="31"/>
        <v>4.9138972203059312</v>
      </c>
      <c r="AC38" s="11">
        <f t="shared" si="31"/>
        <v>9.1081081081081106</v>
      </c>
      <c r="AD38" s="11">
        <f t="shared" si="31"/>
        <v>31.81450532841404</v>
      </c>
      <c r="AF38" s="2">
        <f t="shared" ref="AF38:AI38" si="32">AVERAGE(AF25:AF36)</f>
        <v>17541.666666666668</v>
      </c>
      <c r="AG38" s="2">
        <f t="shared" si="32"/>
        <v>41666.666666666664</v>
      </c>
      <c r="AH38" s="2">
        <f t="shared" si="32"/>
        <v>199249.93303616703</v>
      </c>
      <c r="AI38" s="2">
        <f t="shared" si="32"/>
        <v>258458.26636950034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9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7D5B7-052A-45DD-B2CB-541F70044625}">
  <sheetPr codeName="Sheet8">
    <tabColor rgb="FFFF0000"/>
  </sheetPr>
  <dimension ref="A1:AZ50"/>
  <sheetViews>
    <sheetView topLeftCell="L13" zoomScaleNormal="100" workbookViewId="0">
      <selection activeCell="Z25" sqref="Z25:Z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14632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f t="shared" ref="Z25:Z36" si="5">11.8*0.8</f>
        <v>9.4400000000000013</v>
      </c>
      <c r="AA25">
        <f t="shared" ref="AA25:AA36" si="6">LinearInterpolation(K25,$A$5:$A$19,$B$5:$B$19)</f>
        <v>4.8899999999999997</v>
      </c>
      <c r="AB25" s="10">
        <f t="shared" ref="AB25:AB36" si="7">X25</f>
        <v>4.5903504012688341</v>
      </c>
      <c r="AC25" s="11">
        <f t="shared" ref="AC25:AC36" si="8">LinearInterpolation(M25,$P$5:$P$11,$Q$5:$Q$11)</f>
        <v>9.1081081081081088</v>
      </c>
      <c r="AD25" s="11">
        <f>SUM(Z25:AC25)</f>
        <v>28.028458509376943</v>
      </c>
      <c r="AF25" s="5">
        <f t="shared" ref="AF25:AF36" si="9">P25</f>
        <v>7000</v>
      </c>
      <c r="AG25" s="5">
        <f t="shared" ref="AG25:AG36" si="10">LinearInterpolation(O25,$D$5:$D$9,$E$5:$E$9)</f>
        <v>50000</v>
      </c>
      <c r="AH25" s="5">
        <f>LinearInterpolation(AD25,$H$5:$H$10,$I$5:$I$10)</f>
        <v>175776.44275813704</v>
      </c>
      <c r="AI25" s="5">
        <f>SUM(AF25:AH25)</f>
        <v>232776.44275813704</v>
      </c>
      <c r="AJ25" s="5">
        <f>$AG$18*AI25/1000</f>
        <v>509.7804096403201</v>
      </c>
      <c r="AK25" s="5">
        <f>AJ25*365.25</f>
        <v>186197.29462112693</v>
      </c>
      <c r="AL25" s="5"/>
      <c r="AM25">
        <f t="shared" ref="AM25:AM36" si="11">YEAR(A25)</f>
        <v>2020</v>
      </c>
      <c r="AN25" s="10">
        <f>J25*0.00036525</f>
        <v>4.5656249999999998</v>
      </c>
      <c r="AP25" s="5">
        <f t="shared" ref="AP25:AP36" si="12">AJ25*1000/J25</f>
        <v>40.782432771225608</v>
      </c>
      <c r="AQ25" s="14">
        <f>AP25/6.29</f>
        <v>6.4836936043283959</v>
      </c>
      <c r="AR25" s="14">
        <f t="shared" ref="AR25:AR36" si="13">AK25/AN25/1000</f>
        <v>40.782432771225615</v>
      </c>
      <c r="AS25" s="14">
        <f t="shared" ref="AS25:AS36" si="14">AR25/6.29</f>
        <v>6.4836936043283968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5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6">MIN($M$19,E26-$M$17)</f>
        <v>18000</v>
      </c>
      <c r="N26" s="3">
        <f t="shared" ref="N26:N36" si="17">L26+M26</f>
        <v>33000</v>
      </c>
      <c r="O26" s="3">
        <f t="shared" ref="O26:O36" si="18">MAX(C26-F26-P26-Q26,0)</f>
        <v>1146771.7172957039</v>
      </c>
      <c r="P26" s="3">
        <f t="shared" ref="P26:P36" si="19">C26*$P$22</f>
        <v>7200</v>
      </c>
      <c r="Q26" s="3">
        <v>246028.28270429594</v>
      </c>
      <c r="R26" s="3">
        <f t="shared" ref="R26:R36" si="20">Q26-AI26</f>
        <v>14632.000000000029</v>
      </c>
      <c r="S26" s="19"/>
      <c r="T26" s="10">
        <f t="shared" ref="T26:T36" si="21">L26/24</f>
        <v>625</v>
      </c>
      <c r="U26" s="16">
        <v>3086.0958611163078</v>
      </c>
      <c r="V26" s="5">
        <f t="shared" ref="V26:V36" si="22">LinearInterpolation(T26/U26,$AE$6:$AE$11,$AF$6:$AF$11)*U26*U26</f>
        <v>1881.5011250592379</v>
      </c>
      <c r="W26" s="2">
        <f t="shared" ref="W26:W36" si="23">LinearInterpolation(T26/U26,$AE$6:$AE$11,$AC$6:$AC$11)</f>
        <v>78.262863536031233</v>
      </c>
      <c r="X26" s="10">
        <f t="shared" si="4"/>
        <v>4.2154858764557481</v>
      </c>
      <c r="Z26" s="9">
        <f t="shared" si="5"/>
        <v>9.4400000000000013</v>
      </c>
      <c r="AA26">
        <f t="shared" si="6"/>
        <v>5.01</v>
      </c>
      <c r="AB26" s="10">
        <f t="shared" si="7"/>
        <v>4.2154858764557481</v>
      </c>
      <c r="AC26" s="11">
        <f t="shared" si="8"/>
        <v>9.1081081081081088</v>
      </c>
      <c r="AD26" s="11">
        <f t="shared" ref="AD26:AD36" si="24">SUM(Z26:AC26)</f>
        <v>27.773593984563856</v>
      </c>
      <c r="AF26" s="5">
        <f t="shared" si="9"/>
        <v>7200</v>
      </c>
      <c r="AG26" s="5">
        <f t="shared" si="10"/>
        <v>50000</v>
      </c>
      <c r="AH26" s="5">
        <f t="shared" ref="AH26:AH36" si="25">LinearInterpolation(AD26,$H$5:$H$10,$I$5:$I$10)</f>
        <v>174196.28270429591</v>
      </c>
      <c r="AI26" s="5">
        <f t="shared" ref="AI26:AI36" si="26">SUM(AF26:AH26)</f>
        <v>231396.28270429591</v>
      </c>
      <c r="AJ26" s="5">
        <f t="shared" ref="AJ26:AJ36" si="27">$AG$18*AI26/1000</f>
        <v>506.75785912240804</v>
      </c>
      <c r="AK26" s="5">
        <f>AJ26*365.25+AK25</f>
        <v>371290.60266558646</v>
      </c>
      <c r="AL26" s="5"/>
      <c r="AM26">
        <f t="shared" si="11"/>
        <v>2021</v>
      </c>
      <c r="AN26" s="10">
        <f t="shared" ref="AN26:AN36" si="28">J26*0.00036525+AN25</f>
        <v>8.8025249999999993</v>
      </c>
      <c r="AP26" s="5">
        <f t="shared" si="12"/>
        <v>43.686022338138621</v>
      </c>
      <c r="AQ26" s="14">
        <f t="shared" ref="AQ26:AQ36" si="29">AP26/6.29</f>
        <v>6.9453135672716408</v>
      </c>
      <c r="AR26" s="14">
        <f t="shared" si="13"/>
        <v>42.180011151980423</v>
      </c>
      <c r="AS26" s="14">
        <f t="shared" si="14"/>
        <v>6.7058841259110373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5"/>
        <v>10700</v>
      </c>
      <c r="K27" s="3">
        <f t="shared" si="2"/>
        <v>2410000</v>
      </c>
      <c r="L27" s="3">
        <f t="shared" si="3"/>
        <v>12000</v>
      </c>
      <c r="M27" s="3">
        <f t="shared" si="16"/>
        <v>18000</v>
      </c>
      <c r="N27" s="3">
        <f t="shared" si="17"/>
        <v>30000</v>
      </c>
      <c r="O27" s="3">
        <f t="shared" si="18"/>
        <v>1250913.2750208832</v>
      </c>
      <c r="P27" s="3">
        <f t="shared" si="19"/>
        <v>7400</v>
      </c>
      <c r="Q27" s="3">
        <v>241686.72497911679</v>
      </c>
      <c r="R27" s="3">
        <f t="shared" si="20"/>
        <v>14632</v>
      </c>
      <c r="S27" s="19"/>
      <c r="T27" s="10">
        <f t="shared" si="21"/>
        <v>500</v>
      </c>
      <c r="U27" s="16">
        <v>2955.1311952574533</v>
      </c>
      <c r="V27" s="5">
        <f t="shared" si="22"/>
        <v>1881.8565993359873</v>
      </c>
      <c r="W27" s="2">
        <f t="shared" si="23"/>
        <v>78.496729511784963</v>
      </c>
      <c r="X27" s="10">
        <f>V27*T27/60/60*$S$14*10/(W27/100)/1000000*IF(V27&lt;$S$18,NA(),1)</f>
        <v>3.3629765659429873</v>
      </c>
      <c r="Y27" s="10"/>
      <c r="Z27" s="9">
        <f t="shared" si="5"/>
        <v>9.4400000000000013</v>
      </c>
      <c r="AA27">
        <f t="shared" si="6"/>
        <v>5.13</v>
      </c>
      <c r="AB27" s="10">
        <f t="shared" si="7"/>
        <v>3.3629765659429873</v>
      </c>
      <c r="AC27" s="11">
        <f t="shared" si="8"/>
        <v>9.1081081081081088</v>
      </c>
      <c r="AD27" s="11">
        <f t="shared" si="24"/>
        <v>27.041084674051096</v>
      </c>
      <c r="AF27" s="5">
        <f t="shared" si="9"/>
        <v>7400</v>
      </c>
      <c r="AG27" s="5">
        <f t="shared" si="10"/>
        <v>50000</v>
      </c>
      <c r="AH27" s="5">
        <f t="shared" si="25"/>
        <v>169654.72497911679</v>
      </c>
      <c r="AI27" s="5">
        <f t="shared" si="26"/>
        <v>227054.72497911679</v>
      </c>
      <c r="AJ27" s="5">
        <f t="shared" si="27"/>
        <v>497.24984770426573</v>
      </c>
      <c r="AK27" s="5">
        <f t="shared" ref="AK27:AK36" si="30">AJ27*365.25+AK26</f>
        <v>552911.10953956947</v>
      </c>
      <c r="AL27" s="5"/>
      <c r="AM27">
        <f t="shared" si="11"/>
        <v>2022</v>
      </c>
      <c r="AN27" s="10">
        <f t="shared" si="28"/>
        <v>12.710699999999999</v>
      </c>
      <c r="AP27" s="5">
        <f t="shared" si="12"/>
        <v>46.471948383576233</v>
      </c>
      <c r="AQ27" s="14">
        <f t="shared" si="29"/>
        <v>7.3882270880089402</v>
      </c>
      <c r="AR27" s="14">
        <f t="shared" si="13"/>
        <v>43.499658519166495</v>
      </c>
      <c r="AS27" s="14">
        <f t="shared" si="14"/>
        <v>6.915684979199761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5"/>
        <v>9800</v>
      </c>
      <c r="K28" s="3">
        <f t="shared" si="2"/>
        <v>2540000</v>
      </c>
      <c r="L28" s="3">
        <f t="shared" si="3"/>
        <v>15000</v>
      </c>
      <c r="M28" s="3">
        <f t="shared" si="16"/>
        <v>18000</v>
      </c>
      <c r="N28" s="3">
        <f t="shared" si="17"/>
        <v>33000</v>
      </c>
      <c r="O28" s="3">
        <f t="shared" si="18"/>
        <v>1242561.7172957042</v>
      </c>
      <c r="P28" s="3">
        <f t="shared" si="19"/>
        <v>7600</v>
      </c>
      <c r="Q28" s="3">
        <v>249838.28270429591</v>
      </c>
      <c r="R28" s="3">
        <f t="shared" si="20"/>
        <v>14631.999999999971</v>
      </c>
      <c r="S28" s="19"/>
      <c r="T28" s="10">
        <f t="shared" si="21"/>
        <v>625</v>
      </c>
      <c r="U28" s="16">
        <v>3086.0958611163078</v>
      </c>
      <c r="V28" s="5">
        <f t="shared" si="22"/>
        <v>1881.5011250592379</v>
      </c>
      <c r="W28" s="2">
        <f t="shared" si="23"/>
        <v>78.262863536031233</v>
      </c>
      <c r="X28" s="10">
        <f t="shared" ref="X28:X36" si="31">V28*T28/60/60*$S$14*10/(W28/100)/1000000*IF(V28&lt;$S$18,NA(),1)</f>
        <v>4.2154858764557481</v>
      </c>
      <c r="Y28" s="10"/>
      <c r="Z28" s="9">
        <f t="shared" si="5"/>
        <v>9.4400000000000013</v>
      </c>
      <c r="AA28">
        <f t="shared" si="6"/>
        <v>5.5600000000000005</v>
      </c>
      <c r="AB28" s="10">
        <f t="shared" si="7"/>
        <v>4.2154858764557481</v>
      </c>
      <c r="AC28" s="11">
        <f t="shared" si="8"/>
        <v>9.1081081081081088</v>
      </c>
      <c r="AD28" s="11">
        <f t="shared" si="24"/>
        <v>28.32359398456386</v>
      </c>
      <c r="AF28" s="5">
        <f t="shared" si="9"/>
        <v>7600</v>
      </c>
      <c r="AG28" s="5">
        <f t="shared" si="10"/>
        <v>50000</v>
      </c>
      <c r="AH28" s="5">
        <f t="shared" si="25"/>
        <v>177606.28270429594</v>
      </c>
      <c r="AI28" s="5">
        <f t="shared" si="26"/>
        <v>235206.28270429594</v>
      </c>
      <c r="AJ28" s="5">
        <f t="shared" si="27"/>
        <v>515.10175912240811</v>
      </c>
      <c r="AK28" s="5">
        <f t="shared" si="30"/>
        <v>741052.02705902909</v>
      </c>
      <c r="AL28" s="5"/>
      <c r="AM28">
        <f t="shared" si="11"/>
        <v>2023</v>
      </c>
      <c r="AN28" s="10">
        <f t="shared" si="28"/>
        <v>16.290150000000001</v>
      </c>
      <c r="AP28" s="5">
        <f t="shared" si="12"/>
        <v>52.561403992082461</v>
      </c>
      <c r="AQ28" s="14">
        <f t="shared" si="29"/>
        <v>8.3563440368970525</v>
      </c>
      <c r="AR28" s="14">
        <f t="shared" si="13"/>
        <v>45.490804385412602</v>
      </c>
      <c r="AS28" s="14">
        <f t="shared" si="14"/>
        <v>7.2322423506220357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5"/>
        <v>9900</v>
      </c>
      <c r="K29" s="3">
        <f t="shared" si="2"/>
        <v>2580000</v>
      </c>
      <c r="L29" s="3">
        <f t="shared" si="3"/>
        <v>17000</v>
      </c>
      <c r="M29" s="3">
        <f t="shared" si="16"/>
        <v>18000</v>
      </c>
      <c r="N29" s="3">
        <f t="shared" si="17"/>
        <v>35000</v>
      </c>
      <c r="O29" s="3">
        <f t="shared" si="18"/>
        <v>1336424.7483636027</v>
      </c>
      <c r="P29" s="3">
        <f t="shared" si="19"/>
        <v>7800</v>
      </c>
      <c r="Q29" s="3">
        <v>255775.25163639733</v>
      </c>
      <c r="R29" s="3">
        <f t="shared" si="20"/>
        <v>14632</v>
      </c>
      <c r="S29" s="19"/>
      <c r="T29" s="10">
        <f t="shared" si="21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3"/>
        <v>75.103488072919887</v>
      </c>
      <c r="X29" s="10">
        <f t="shared" si="31"/>
        <v>4.980803446149527</v>
      </c>
      <c r="Y29" s="10"/>
      <c r="Z29" s="9">
        <f t="shared" si="5"/>
        <v>9.4400000000000013</v>
      </c>
      <c r="AA29">
        <f t="shared" si="6"/>
        <v>5.72</v>
      </c>
      <c r="AB29" s="10">
        <f t="shared" si="7"/>
        <v>4.980803446149527</v>
      </c>
      <c r="AC29" s="11">
        <f t="shared" si="8"/>
        <v>9.1081081081081088</v>
      </c>
      <c r="AD29" s="11">
        <f t="shared" si="24"/>
        <v>29.248911554257635</v>
      </c>
      <c r="AF29" s="5">
        <f t="shared" si="9"/>
        <v>7800</v>
      </c>
      <c r="AG29" s="5">
        <f t="shared" si="10"/>
        <v>50000</v>
      </c>
      <c r="AH29" s="5">
        <f t="shared" si="25"/>
        <v>183343.25163639733</v>
      </c>
      <c r="AI29" s="5">
        <f t="shared" si="26"/>
        <v>241143.25163639733</v>
      </c>
      <c r="AJ29" s="5">
        <f t="shared" si="27"/>
        <v>528.10372108371007</v>
      </c>
      <c r="AK29" s="5">
        <f t="shared" si="30"/>
        <v>933941.91118485422</v>
      </c>
      <c r="AL29" s="5"/>
      <c r="AM29">
        <f t="shared" si="11"/>
        <v>2024</v>
      </c>
      <c r="AN29" s="10">
        <f t="shared" si="28"/>
        <v>19.906124999999999</v>
      </c>
      <c r="AP29" s="5">
        <f t="shared" si="12"/>
        <v>53.343810210475766</v>
      </c>
      <c r="AQ29" s="14">
        <f t="shared" si="29"/>
        <v>8.480732942841934</v>
      </c>
      <c r="AR29" s="14">
        <f t="shared" si="13"/>
        <v>46.917313700424081</v>
      </c>
      <c r="AS29" s="14">
        <f t="shared" si="14"/>
        <v>7.4590323848051003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5"/>
        <v>10000</v>
      </c>
      <c r="K30" s="3">
        <f t="shared" si="2"/>
        <v>2710000</v>
      </c>
      <c r="L30" s="3">
        <f t="shared" si="3"/>
        <v>18000</v>
      </c>
      <c r="M30" s="3">
        <f t="shared" si="16"/>
        <v>18000</v>
      </c>
      <c r="N30" s="3">
        <f t="shared" si="17"/>
        <v>36000</v>
      </c>
      <c r="O30" s="3">
        <f t="shared" si="18"/>
        <v>1330028.5198999885</v>
      </c>
      <c r="P30" s="3">
        <f t="shared" si="19"/>
        <v>8000</v>
      </c>
      <c r="Q30" s="3">
        <v>261971.48010001139</v>
      </c>
      <c r="R30" s="3">
        <f t="shared" si="20"/>
        <v>14632.000000000029</v>
      </c>
      <c r="S30" s="19"/>
      <c r="T30" s="10">
        <f t="shared" si="21"/>
        <v>750</v>
      </c>
      <c r="U30" s="16">
        <v>3316.6550762204715</v>
      </c>
      <c r="V30" s="5">
        <f t="shared" si="22"/>
        <v>1947.711974650548</v>
      </c>
      <c r="W30" s="2">
        <f t="shared" si="23"/>
        <v>74.004282858987835</v>
      </c>
      <c r="X30" s="10">
        <f t="shared" si="31"/>
        <v>5.5379370693130809</v>
      </c>
      <c r="Y30" s="10"/>
      <c r="Z30" s="9">
        <f t="shared" si="5"/>
        <v>9.4400000000000013</v>
      </c>
      <c r="AA30">
        <f t="shared" si="6"/>
        <v>6.13</v>
      </c>
      <c r="AB30" s="10">
        <f t="shared" si="7"/>
        <v>5.5379370693130809</v>
      </c>
      <c r="AC30" s="11">
        <f t="shared" si="8"/>
        <v>9.1081081081081088</v>
      </c>
      <c r="AD30" s="11">
        <f t="shared" si="24"/>
        <v>30.21604517742119</v>
      </c>
      <c r="AF30" s="5">
        <f t="shared" si="9"/>
        <v>8000</v>
      </c>
      <c r="AG30" s="5">
        <f t="shared" si="10"/>
        <v>50000</v>
      </c>
      <c r="AH30" s="5">
        <f t="shared" si="25"/>
        <v>189339.48010001137</v>
      </c>
      <c r="AI30" s="5">
        <f t="shared" si="26"/>
        <v>247339.48010001137</v>
      </c>
      <c r="AJ30" s="5">
        <f t="shared" si="27"/>
        <v>541.67346141902487</v>
      </c>
      <c r="AK30" s="5">
        <f t="shared" si="30"/>
        <v>1131788.1429681531</v>
      </c>
      <c r="AL30" s="5"/>
      <c r="AM30">
        <f t="shared" si="11"/>
        <v>2024</v>
      </c>
      <c r="AN30" s="10">
        <f t="shared" si="28"/>
        <v>23.558624999999999</v>
      </c>
      <c r="AP30" s="5">
        <f t="shared" si="12"/>
        <v>54.167346141902485</v>
      </c>
      <c r="AQ30" s="14">
        <f t="shared" si="29"/>
        <v>8.6116607538795691</v>
      </c>
      <c r="AR30" s="14">
        <f t="shared" si="13"/>
        <v>48.041349737862589</v>
      </c>
      <c r="AS30" s="14">
        <f t="shared" si="14"/>
        <v>7.6377344575298229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5"/>
        <v>11100</v>
      </c>
      <c r="K31" s="3">
        <f t="shared" si="2"/>
        <v>2750000</v>
      </c>
      <c r="L31" s="3">
        <f t="shared" si="3"/>
        <v>18000</v>
      </c>
      <c r="M31" s="3">
        <f t="shared" si="16"/>
        <v>18000</v>
      </c>
      <c r="N31" s="3">
        <f t="shared" si="17"/>
        <v>36000</v>
      </c>
      <c r="O31" s="3">
        <f t="shared" si="18"/>
        <v>1428884.5198999885</v>
      </c>
      <c r="P31" s="3">
        <f t="shared" si="19"/>
        <v>8200</v>
      </c>
      <c r="Q31" s="3">
        <v>262915.48010001139</v>
      </c>
      <c r="R31" s="3">
        <f t="shared" si="20"/>
        <v>14632</v>
      </c>
      <c r="S31" s="19"/>
      <c r="T31" s="10">
        <f t="shared" si="21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3"/>
        <v>74.004282858987835</v>
      </c>
      <c r="X31" s="10">
        <f t="shared" si="31"/>
        <v>5.5379370693130809</v>
      </c>
      <c r="Y31" s="10"/>
      <c r="Z31" s="9">
        <f t="shared" si="5"/>
        <v>9.4400000000000013</v>
      </c>
      <c r="AA31">
        <f t="shared" si="6"/>
        <v>6.25</v>
      </c>
      <c r="AB31" s="10">
        <f t="shared" si="7"/>
        <v>5.5379370693130809</v>
      </c>
      <c r="AC31" s="11">
        <f t="shared" si="8"/>
        <v>9.1081081081081088</v>
      </c>
      <c r="AD31" s="11">
        <f t="shared" si="24"/>
        <v>30.336045177421191</v>
      </c>
      <c r="AF31" s="5">
        <f t="shared" si="9"/>
        <v>8200</v>
      </c>
      <c r="AG31" s="5">
        <f t="shared" si="10"/>
        <v>50000</v>
      </c>
      <c r="AH31" s="5">
        <f t="shared" si="25"/>
        <v>190083.48010001139</v>
      </c>
      <c r="AI31" s="5">
        <f t="shared" si="26"/>
        <v>248283.48010001139</v>
      </c>
      <c r="AJ31" s="5">
        <f t="shared" si="27"/>
        <v>543.740821419025</v>
      </c>
      <c r="AK31" s="5">
        <f t="shared" si="30"/>
        <v>1330389.477991452</v>
      </c>
      <c r="AL31" s="5"/>
      <c r="AM31">
        <f t="shared" si="11"/>
        <v>2026</v>
      </c>
      <c r="AN31" s="10">
        <f t="shared" si="28"/>
        <v>27.6129</v>
      </c>
      <c r="AP31" s="5">
        <f t="shared" si="12"/>
        <v>48.985659587299544</v>
      </c>
      <c r="AQ31" s="14">
        <f t="shared" si="29"/>
        <v>7.7878632094275906</v>
      </c>
      <c r="AR31" s="14">
        <f t="shared" si="13"/>
        <v>48.179998406232308</v>
      </c>
      <c r="AS31" s="14">
        <f t="shared" si="14"/>
        <v>7.6597771711021156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5"/>
        <v>10500</v>
      </c>
      <c r="K32" s="3">
        <f t="shared" si="2"/>
        <v>2790000</v>
      </c>
      <c r="L32" s="3">
        <f t="shared" si="3"/>
        <v>20000</v>
      </c>
      <c r="M32" s="3">
        <f t="shared" si="16"/>
        <v>18000</v>
      </c>
      <c r="N32" s="3">
        <f t="shared" si="17"/>
        <v>38000</v>
      </c>
      <c r="O32" s="3">
        <f t="shared" si="18"/>
        <v>1813760.3329870254</v>
      </c>
      <c r="P32" s="3">
        <f t="shared" si="19"/>
        <v>9000</v>
      </c>
      <c r="Q32" s="3">
        <v>277239.66701297474</v>
      </c>
      <c r="R32" s="3">
        <f t="shared" si="20"/>
        <v>14632</v>
      </c>
      <c r="S32" s="19"/>
      <c r="T32" s="10">
        <f t="shared" si="21"/>
        <v>833.33333333333337</v>
      </c>
      <c r="U32" s="16">
        <v>3685.6717811091703</v>
      </c>
      <c r="V32" s="5">
        <f t="shared" si="22"/>
        <v>2405.6075059987475</v>
      </c>
      <c r="W32" s="2">
        <f t="shared" si="23"/>
        <v>74.010141431302316</v>
      </c>
      <c r="X32" s="10">
        <f t="shared" si="31"/>
        <v>7.5992575391458876</v>
      </c>
      <c r="Y32" s="10"/>
      <c r="Z32" s="9">
        <f t="shared" si="5"/>
        <v>9.4400000000000013</v>
      </c>
      <c r="AA32">
        <f t="shared" si="6"/>
        <v>6.37</v>
      </c>
      <c r="AB32" s="10">
        <f t="shared" si="7"/>
        <v>7.5992575391458876</v>
      </c>
      <c r="AC32" s="11">
        <f t="shared" si="8"/>
        <v>9.1081081081081088</v>
      </c>
      <c r="AD32" s="11">
        <f t="shared" si="24"/>
        <v>32.517365647253996</v>
      </c>
      <c r="AF32" s="5">
        <f t="shared" si="9"/>
        <v>9000</v>
      </c>
      <c r="AG32" s="5">
        <f t="shared" si="10"/>
        <v>50000</v>
      </c>
      <c r="AH32" s="5">
        <f t="shared" si="25"/>
        <v>203607.66701297477</v>
      </c>
      <c r="AI32" s="5">
        <f t="shared" si="26"/>
        <v>262607.66701297474</v>
      </c>
      <c r="AJ32" s="5">
        <f t="shared" si="27"/>
        <v>575.11079075841462</v>
      </c>
      <c r="AK32" s="5">
        <f t="shared" si="30"/>
        <v>1540448.694315963</v>
      </c>
      <c r="AL32" s="5"/>
      <c r="AM32">
        <f t="shared" si="11"/>
        <v>2027</v>
      </c>
      <c r="AN32" s="10">
        <f t="shared" si="28"/>
        <v>31.448025000000001</v>
      </c>
      <c r="AP32" s="5">
        <f t="shared" si="12"/>
        <v>54.772456262706157</v>
      </c>
      <c r="AQ32" s="14">
        <f t="shared" si="29"/>
        <v>8.7078626808753832</v>
      </c>
      <c r="AR32" s="14">
        <f t="shared" si="13"/>
        <v>48.983956681412039</v>
      </c>
      <c r="AS32" s="14">
        <f t="shared" si="14"/>
        <v>7.7875924771720255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5"/>
        <v>9500</v>
      </c>
      <c r="K33" s="3">
        <f t="shared" si="2"/>
        <v>2830000</v>
      </c>
      <c r="L33" s="3">
        <f t="shared" si="3"/>
        <v>15000</v>
      </c>
      <c r="M33" s="3">
        <f t="shared" si="16"/>
        <v>18000</v>
      </c>
      <c r="N33" s="3">
        <f t="shared" si="17"/>
        <v>33000</v>
      </c>
      <c r="O33" s="3">
        <f t="shared" si="18"/>
        <v>837809.71729570406</v>
      </c>
      <c r="P33" s="3">
        <f t="shared" si="19"/>
        <v>7000</v>
      </c>
      <c r="Q33" s="3">
        <v>255190.28270429594</v>
      </c>
      <c r="R33" s="3">
        <f t="shared" si="20"/>
        <v>14632.000000000029</v>
      </c>
      <c r="S33" s="19"/>
      <c r="T33" s="10">
        <f t="shared" si="21"/>
        <v>625</v>
      </c>
      <c r="U33" s="16">
        <v>3086.0958611163078</v>
      </c>
      <c r="V33" s="5">
        <f t="shared" si="22"/>
        <v>1881.5011250592379</v>
      </c>
      <c r="W33" s="2">
        <f t="shared" si="23"/>
        <v>78.262863536031233</v>
      </c>
      <c r="X33" s="10">
        <f t="shared" si="31"/>
        <v>4.2154858764557481</v>
      </c>
      <c r="Y33" s="10"/>
      <c r="Z33" s="9">
        <f t="shared" si="5"/>
        <v>9.4400000000000013</v>
      </c>
      <c r="AA33">
        <f t="shared" si="6"/>
        <v>6.5200000000000005</v>
      </c>
      <c r="AB33" s="10">
        <f t="shared" si="7"/>
        <v>4.2154858764557481</v>
      </c>
      <c r="AC33" s="11">
        <f t="shared" si="8"/>
        <v>9.1081081081081088</v>
      </c>
      <c r="AD33" s="11">
        <f t="shared" si="24"/>
        <v>29.283593984563858</v>
      </c>
      <c r="AF33" s="5">
        <f t="shared" si="9"/>
        <v>7000</v>
      </c>
      <c r="AG33" s="5">
        <f t="shared" si="10"/>
        <v>50000</v>
      </c>
      <c r="AH33" s="5">
        <f t="shared" si="25"/>
        <v>183558.28270429591</v>
      </c>
      <c r="AI33" s="5">
        <f t="shared" si="26"/>
        <v>240558.28270429591</v>
      </c>
      <c r="AJ33" s="5">
        <f t="shared" si="27"/>
        <v>526.82263912240796</v>
      </c>
      <c r="AK33" s="5">
        <f t="shared" si="30"/>
        <v>1732870.6632554224</v>
      </c>
      <c r="AL33" s="5"/>
      <c r="AM33">
        <f t="shared" si="11"/>
        <v>2028</v>
      </c>
      <c r="AN33" s="10">
        <f t="shared" si="28"/>
        <v>34.917900000000003</v>
      </c>
      <c r="AP33" s="5">
        <f t="shared" si="12"/>
        <v>55.455014644464001</v>
      </c>
      <c r="AQ33" s="14">
        <f t="shared" si="29"/>
        <v>8.8163775269418121</v>
      </c>
      <c r="AR33" s="14">
        <f t="shared" si="13"/>
        <v>49.627001144267616</v>
      </c>
      <c r="AS33" s="14">
        <f t="shared" si="14"/>
        <v>7.8898253011554242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5"/>
        <v>7500</v>
      </c>
      <c r="K34" s="3">
        <f t="shared" si="2"/>
        <v>2860000</v>
      </c>
      <c r="L34" s="3">
        <f t="shared" si="3"/>
        <v>18000</v>
      </c>
      <c r="M34" s="3">
        <f t="shared" si="16"/>
        <v>18000</v>
      </c>
      <c r="N34" s="3">
        <f t="shared" si="17"/>
        <v>36000</v>
      </c>
      <c r="O34" s="3">
        <f t="shared" si="18"/>
        <v>0</v>
      </c>
      <c r="P34" s="3">
        <f t="shared" si="19"/>
        <v>5000</v>
      </c>
      <c r="Q34" s="3">
        <v>212133.48010001139</v>
      </c>
      <c r="R34" s="3">
        <f t="shared" si="20"/>
        <v>14632</v>
      </c>
      <c r="S34" s="19"/>
      <c r="T34" s="10">
        <f t="shared" si="21"/>
        <v>750</v>
      </c>
      <c r="U34" s="16">
        <v>3316.6550762204715</v>
      </c>
      <c r="V34" s="5">
        <f t="shared" si="22"/>
        <v>1947.711974650548</v>
      </c>
      <c r="W34" s="2">
        <f t="shared" si="23"/>
        <v>74.004282858987835</v>
      </c>
      <c r="X34" s="10">
        <f t="shared" si="31"/>
        <v>5.5379370693130809</v>
      </c>
      <c r="Y34" s="10"/>
      <c r="Z34" s="9">
        <f t="shared" si="5"/>
        <v>9.4400000000000013</v>
      </c>
      <c r="AA34">
        <f t="shared" si="6"/>
        <v>6.64</v>
      </c>
      <c r="AB34" s="10">
        <f t="shared" si="7"/>
        <v>5.5379370693130809</v>
      </c>
      <c r="AC34" s="11">
        <f t="shared" si="8"/>
        <v>9.1081081081081088</v>
      </c>
      <c r="AD34" s="11">
        <f t="shared" si="24"/>
        <v>30.726045177421192</v>
      </c>
      <c r="AF34" s="5">
        <f t="shared" si="9"/>
        <v>5000</v>
      </c>
      <c r="AG34" s="5">
        <f t="shared" si="10"/>
        <v>0</v>
      </c>
      <c r="AH34" s="5">
        <f t="shared" si="25"/>
        <v>192501.48010001139</v>
      </c>
      <c r="AI34" s="5">
        <f t="shared" si="26"/>
        <v>197501.48010001139</v>
      </c>
      <c r="AJ34" s="5">
        <f t="shared" si="27"/>
        <v>432.52824141902494</v>
      </c>
      <c r="AK34" s="5">
        <f t="shared" si="30"/>
        <v>1890851.6034337212</v>
      </c>
      <c r="AL34" s="5"/>
      <c r="AM34">
        <f t="shared" si="11"/>
        <v>2029</v>
      </c>
      <c r="AN34" s="10">
        <f t="shared" si="28"/>
        <v>37.657275000000006</v>
      </c>
      <c r="AP34" s="5">
        <f t="shared" si="12"/>
        <v>57.670432189203325</v>
      </c>
      <c r="AQ34" s="14">
        <f t="shared" si="29"/>
        <v>9.1685901731642812</v>
      </c>
      <c r="AR34" s="14">
        <f t="shared" si="13"/>
        <v>50.212119794481175</v>
      </c>
      <c r="AS34" s="14">
        <f t="shared" si="14"/>
        <v>7.9828489339397732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5"/>
        <v>8000</v>
      </c>
      <c r="K35" s="3">
        <f t="shared" si="2"/>
        <v>2900000</v>
      </c>
      <c r="L35" s="3">
        <f t="shared" si="3"/>
        <v>17000</v>
      </c>
      <c r="M35" s="3">
        <f t="shared" si="16"/>
        <v>18000</v>
      </c>
      <c r="N35" s="3">
        <f t="shared" si="17"/>
        <v>35000</v>
      </c>
      <c r="O35" s="3">
        <f t="shared" si="18"/>
        <v>0</v>
      </c>
      <c r="P35" s="3">
        <f t="shared" si="19"/>
        <v>4000</v>
      </c>
      <c r="Q35" s="3">
        <v>208671.25163639733</v>
      </c>
      <c r="R35" s="3">
        <f t="shared" si="20"/>
        <v>14632</v>
      </c>
      <c r="S35" s="19"/>
      <c r="T35" s="10">
        <f t="shared" si="21"/>
        <v>708.33333333333337</v>
      </c>
      <c r="U35" s="16">
        <v>3214.1196729831181</v>
      </c>
      <c r="V35" s="5">
        <f t="shared" si="22"/>
        <v>1882.3611843371705</v>
      </c>
      <c r="W35" s="2">
        <f t="shared" si="23"/>
        <v>75.103488072919887</v>
      </c>
      <c r="X35" s="10">
        <f t="shared" si="31"/>
        <v>4.980803446149527</v>
      </c>
      <c r="Y35" s="10"/>
      <c r="Z35" s="9">
        <f t="shared" si="5"/>
        <v>9.4400000000000013</v>
      </c>
      <c r="AA35">
        <f t="shared" si="6"/>
        <v>6.8</v>
      </c>
      <c r="AB35" s="10">
        <f t="shared" si="7"/>
        <v>4.980803446149527</v>
      </c>
      <c r="AC35" s="11">
        <f t="shared" si="8"/>
        <v>9.1081081081081088</v>
      </c>
      <c r="AD35" s="11">
        <f t="shared" si="24"/>
        <v>30.328911554257637</v>
      </c>
      <c r="AF35" s="5">
        <f t="shared" si="9"/>
        <v>4000</v>
      </c>
      <c r="AG35" s="5">
        <f t="shared" si="10"/>
        <v>0</v>
      </c>
      <c r="AH35" s="5">
        <f t="shared" si="25"/>
        <v>190039.25163639733</v>
      </c>
      <c r="AI35" s="5">
        <f t="shared" si="26"/>
        <v>194039.25163639733</v>
      </c>
      <c r="AJ35" s="5">
        <f t="shared" si="27"/>
        <v>424.94596108371013</v>
      </c>
      <c r="AK35" s="5">
        <f t="shared" si="30"/>
        <v>2046063.1157195463</v>
      </c>
      <c r="AL35" s="5"/>
      <c r="AM35">
        <f t="shared" si="11"/>
        <v>2030</v>
      </c>
      <c r="AN35" s="10">
        <f t="shared" si="28"/>
        <v>40.579275000000003</v>
      </c>
      <c r="AP35" s="5">
        <f t="shared" si="12"/>
        <v>53.118245135463766</v>
      </c>
      <c r="AQ35" s="14">
        <f t="shared" si="29"/>
        <v>8.4448720406142712</v>
      </c>
      <c r="AR35" s="14">
        <f t="shared" si="13"/>
        <v>50.421381745226995</v>
      </c>
      <c r="AS35" s="14">
        <f t="shared" si="14"/>
        <v>8.0161179245193956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5"/>
        <v>7000</v>
      </c>
      <c r="K36" s="3">
        <f t="shared" si="2"/>
        <v>2930000</v>
      </c>
      <c r="L36" s="3">
        <f t="shared" si="3"/>
        <v>15000</v>
      </c>
      <c r="M36" s="3">
        <f t="shared" si="16"/>
        <v>18000</v>
      </c>
      <c r="N36" s="3">
        <f t="shared" si="17"/>
        <v>33000</v>
      </c>
      <c r="O36" s="3">
        <f t="shared" si="18"/>
        <v>337515.71729570412</v>
      </c>
      <c r="P36" s="3">
        <f t="shared" si="19"/>
        <v>6000</v>
      </c>
      <c r="Q36" s="3">
        <v>256484.28270429588</v>
      </c>
      <c r="R36" s="3">
        <f t="shared" si="20"/>
        <v>14631.999999999942</v>
      </c>
      <c r="S36" s="19"/>
      <c r="T36" s="10">
        <f t="shared" si="21"/>
        <v>625</v>
      </c>
      <c r="U36" s="16">
        <v>3086.0958611163078</v>
      </c>
      <c r="V36" s="5">
        <f t="shared" si="22"/>
        <v>1881.5011250592379</v>
      </c>
      <c r="W36" s="2">
        <f t="shared" si="23"/>
        <v>78.262863536031233</v>
      </c>
      <c r="X36" s="10">
        <f t="shared" si="31"/>
        <v>4.2154858764557481</v>
      </c>
      <c r="Y36" s="10"/>
      <c r="Z36" s="9">
        <f t="shared" si="5"/>
        <v>9.4400000000000013</v>
      </c>
      <c r="AA36">
        <f t="shared" si="6"/>
        <v>6.89</v>
      </c>
      <c r="AB36" s="10">
        <f t="shared" si="7"/>
        <v>4.2154858764557481</v>
      </c>
      <c r="AC36" s="11">
        <f t="shared" si="8"/>
        <v>9.1081081081081088</v>
      </c>
      <c r="AD36" s="11">
        <f t="shared" si="24"/>
        <v>29.653593984563859</v>
      </c>
      <c r="AF36" s="5">
        <f t="shared" si="9"/>
        <v>6000</v>
      </c>
      <c r="AG36" s="5">
        <f t="shared" si="10"/>
        <v>50000</v>
      </c>
      <c r="AH36" s="5">
        <f t="shared" si="25"/>
        <v>185852.28270429594</v>
      </c>
      <c r="AI36" s="5">
        <f t="shared" si="26"/>
        <v>241852.28270429594</v>
      </c>
      <c r="AJ36" s="5">
        <f t="shared" si="27"/>
        <v>529.65649912240815</v>
      </c>
      <c r="AK36" s="5">
        <f t="shared" si="30"/>
        <v>2239520.152024006</v>
      </c>
      <c r="AL36" s="5"/>
      <c r="AM36">
        <f t="shared" si="11"/>
        <v>2031</v>
      </c>
      <c r="AN36" s="10">
        <f t="shared" si="28"/>
        <v>43.136025000000004</v>
      </c>
      <c r="AP36" s="5">
        <f t="shared" si="12"/>
        <v>75.665214160344021</v>
      </c>
      <c r="AQ36" s="14">
        <f t="shared" si="29"/>
        <v>12.029445812455329</v>
      </c>
      <c r="AR36" s="14">
        <f t="shared" si="13"/>
        <v>51.917629221144175</v>
      </c>
      <c r="AS36" s="14">
        <f t="shared" si="14"/>
        <v>8.2539951067001862</v>
      </c>
    </row>
    <row r="38" spans="1:45">
      <c r="N38" s="3"/>
      <c r="Z38" s="11">
        <f>AVERAGE(Z25:Z36)</f>
        <v>9.44</v>
      </c>
      <c r="AA38" s="11">
        <f t="shared" ref="AA38:AD38" si="32">AVERAGE(AA25:AA36)</f>
        <v>5.9924999999999997</v>
      </c>
      <c r="AB38" s="11">
        <f t="shared" si="32"/>
        <v>4.9158288427015835</v>
      </c>
      <c r="AC38" s="11">
        <f t="shared" si="32"/>
        <v>9.1081081081081106</v>
      </c>
      <c r="AD38" s="11">
        <f t="shared" si="32"/>
        <v>29.456436950809699</v>
      </c>
      <c r="AF38" s="2">
        <f t="shared" ref="AF38:AI38" si="33">AVERAGE(AF25:AF36)</f>
        <v>7016.666666666667</v>
      </c>
      <c r="AG38" s="2">
        <f t="shared" si="33"/>
        <v>41666.666666666664</v>
      </c>
      <c r="AH38" s="2">
        <f t="shared" si="33"/>
        <v>184629.90909502012</v>
      </c>
      <c r="AI38" s="2">
        <f t="shared" si="33"/>
        <v>233313.24242835349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8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0FDD-1F5A-4952-B58B-43C8DD677165}">
  <sheetPr codeName="Sheet6">
    <tabColor rgb="FFFF0000"/>
  </sheetPr>
  <dimension ref="A1:AZ50"/>
  <sheetViews>
    <sheetView topLeftCell="L13" zoomScaleNormal="100" workbookViewId="0">
      <selection activeCell="Z25" sqref="Z25:Z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7316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f>11.8*0.9</f>
        <v>10.620000000000001</v>
      </c>
      <c r="AA25">
        <f t="shared" ref="AA25:AA36" si="5">LinearInterpolation(K25,$A$5:$A$19,$B$5:$B$19)</f>
        <v>4.8899999999999997</v>
      </c>
      <c r="AB25" s="10">
        <f t="shared" ref="AB25:AB36" si="6">X25</f>
        <v>4.5903504012688341</v>
      </c>
      <c r="AC25" s="11">
        <f t="shared" ref="AC25:AC36" si="7">LinearInterpolation(M25,$P$5:$P$11,$Q$5:$Q$11)</f>
        <v>9.1081081081081088</v>
      </c>
      <c r="AD25" s="11">
        <f>SUM(Z25:AC25)</f>
        <v>29.208458509376943</v>
      </c>
      <c r="AF25" s="5">
        <f t="shared" ref="AF25:AF36" si="8">P25</f>
        <v>7000</v>
      </c>
      <c r="AG25" s="5">
        <f t="shared" ref="AG25:AG36" si="9">LinearInterpolation(O25,$D$5:$D$9,$E$5:$E$9)</f>
        <v>50000</v>
      </c>
      <c r="AH25" s="5">
        <f>LinearInterpolation(AD25,$H$5:$H$10,$I$5:$I$10)</f>
        <v>183092.44275813704</v>
      </c>
      <c r="AI25" s="5">
        <f>SUM(AF25:AH25)</f>
        <v>240092.44275813704</v>
      </c>
      <c r="AJ25" s="5">
        <f>$AG$18*AI25/1000</f>
        <v>525.80244964032011</v>
      </c>
      <c r="AK25" s="5">
        <f>AJ25*365.25</f>
        <v>192049.34473112691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42.064195971225615</v>
      </c>
      <c r="AQ25" s="14">
        <f>AP25/6.29</f>
        <v>6.6874715375557416</v>
      </c>
      <c r="AR25" s="14">
        <f t="shared" ref="AR25:AR36" si="12">AK25/AN25/1000</f>
        <v>42.064195971225608</v>
      </c>
      <c r="AS25" s="14">
        <f t="shared" ref="AS25:AS36" si="13">AR25/6.29</f>
        <v>6.6874715375557408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1146771.7172957039</v>
      </c>
      <c r="P26" s="3">
        <f t="shared" ref="P26:P36" si="18">C26*$P$22</f>
        <v>7200</v>
      </c>
      <c r="Q26" s="3">
        <v>246028.28270429594</v>
      </c>
      <c r="R26" s="3">
        <f t="shared" ref="R26:R36" si="19">Q26-AI26</f>
        <v>7316.0000000000291</v>
      </c>
      <c r="S26" s="19"/>
      <c r="T26" s="10">
        <f t="shared" ref="T26:T36" si="20">L26/24</f>
        <v>625</v>
      </c>
      <c r="U26" s="16">
        <v>3086.0958611163078</v>
      </c>
      <c r="V26" s="5">
        <f t="shared" ref="V26:V36" si="21">LinearInterpolation(T26/U26,$AE$6:$AE$11,$AF$6:$AF$11)*U26*U26</f>
        <v>1881.5011250592379</v>
      </c>
      <c r="W26" s="2">
        <f t="shared" ref="W26:W36" si="22">LinearInterpolation(T26/U26,$AE$6:$AE$11,$AC$6:$AC$11)</f>
        <v>78.262863536031233</v>
      </c>
      <c r="X26" s="10">
        <f t="shared" si="4"/>
        <v>4.2154858764557481</v>
      </c>
      <c r="Z26" s="9">
        <f t="shared" ref="Z26:Z36" si="23">11.8*0.9</f>
        <v>10.620000000000001</v>
      </c>
      <c r="AA26">
        <f t="shared" si="5"/>
        <v>5.01</v>
      </c>
      <c r="AB26" s="10">
        <f t="shared" si="6"/>
        <v>4.2154858764557481</v>
      </c>
      <c r="AC26" s="11">
        <f t="shared" si="7"/>
        <v>9.1081081081081088</v>
      </c>
      <c r="AD26" s="11">
        <f t="shared" ref="AD26:AD36" si="24">SUM(Z26:AC26)</f>
        <v>28.953593984563856</v>
      </c>
      <c r="AF26" s="5">
        <f t="shared" si="8"/>
        <v>7200</v>
      </c>
      <c r="AG26" s="5">
        <f t="shared" si="9"/>
        <v>50000</v>
      </c>
      <c r="AH26" s="5">
        <f t="shared" ref="AH26:AH36" si="25">LinearInterpolation(AD26,$H$5:$H$10,$I$5:$I$10)</f>
        <v>181512.28270429591</v>
      </c>
      <c r="AI26" s="5">
        <f t="shared" ref="AI26:AI36" si="26">SUM(AF26:AH26)</f>
        <v>238712.28270429591</v>
      </c>
      <c r="AJ26" s="5">
        <f t="shared" ref="AJ26:AJ36" si="27">$AG$18*AI26/1000</f>
        <v>522.77989912240798</v>
      </c>
      <c r="AK26" s="5">
        <f>AJ26*365.25+AK25</f>
        <v>382994.70288558642</v>
      </c>
      <c r="AL26" s="5"/>
      <c r="AM26">
        <f t="shared" si="10"/>
        <v>2021</v>
      </c>
      <c r="AN26" s="10">
        <f t="shared" ref="AN26:AN36" si="28">J26*0.00036525+AN25</f>
        <v>8.8025249999999993</v>
      </c>
      <c r="AP26" s="5">
        <f t="shared" si="11"/>
        <v>45.067232682966207</v>
      </c>
      <c r="AQ26" s="14">
        <f t="shared" ref="AQ26:AQ36" si="29">AP26/6.29</f>
        <v>7.1649018573873144</v>
      </c>
      <c r="AR26" s="14">
        <f t="shared" si="12"/>
        <v>43.509641027499093</v>
      </c>
      <c r="AS26" s="14">
        <f t="shared" si="13"/>
        <v>6.917272023449776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1250913.2750208832</v>
      </c>
      <c r="P27" s="3">
        <f t="shared" si="18"/>
        <v>7400</v>
      </c>
      <c r="Q27" s="3">
        <v>241686.72497911679</v>
      </c>
      <c r="R27" s="3">
        <f t="shared" si="19"/>
        <v>7316</v>
      </c>
      <c r="S27" s="19"/>
      <c r="T27" s="10">
        <f t="shared" si="20"/>
        <v>500</v>
      </c>
      <c r="U27" s="16">
        <v>2955.1311952574533</v>
      </c>
      <c r="V27" s="5">
        <f t="shared" si="21"/>
        <v>1881.8565993359873</v>
      </c>
      <c r="W27" s="2">
        <f t="shared" si="22"/>
        <v>78.496729511784963</v>
      </c>
      <c r="X27" s="10">
        <f>V27*T27/60/60*$S$14*10/(W27/100)/1000000*IF(V27&lt;$S$18,NA(),1)</f>
        <v>3.3629765659429873</v>
      </c>
      <c r="Y27" s="10"/>
      <c r="Z27" s="9">
        <f t="shared" si="23"/>
        <v>10.620000000000001</v>
      </c>
      <c r="AA27">
        <f t="shared" si="5"/>
        <v>5.13</v>
      </c>
      <c r="AB27" s="10">
        <f t="shared" si="6"/>
        <v>3.3629765659429873</v>
      </c>
      <c r="AC27" s="11">
        <f t="shared" si="7"/>
        <v>9.1081081081081088</v>
      </c>
      <c r="AD27" s="11">
        <f t="shared" si="24"/>
        <v>28.221084674051095</v>
      </c>
      <c r="AF27" s="5">
        <f t="shared" si="8"/>
        <v>7400</v>
      </c>
      <c r="AG27" s="5">
        <f t="shared" si="9"/>
        <v>50000</v>
      </c>
      <c r="AH27" s="5">
        <f t="shared" si="25"/>
        <v>176970.72497911679</v>
      </c>
      <c r="AI27" s="5">
        <f t="shared" si="26"/>
        <v>234370.72497911679</v>
      </c>
      <c r="AJ27" s="5">
        <f t="shared" si="27"/>
        <v>513.27188770426574</v>
      </c>
      <c r="AK27" s="5">
        <f t="shared" ref="AK27:AK36" si="30">AJ27*365.25+AK26</f>
        <v>570467.25986956945</v>
      </c>
      <c r="AL27" s="5"/>
      <c r="AM27">
        <f t="shared" si="10"/>
        <v>2022</v>
      </c>
      <c r="AN27" s="10">
        <f t="shared" si="28"/>
        <v>12.710699999999999</v>
      </c>
      <c r="AP27" s="5">
        <f t="shared" si="11"/>
        <v>47.969335299464085</v>
      </c>
      <c r="AQ27" s="14">
        <f t="shared" si="29"/>
        <v>7.626285421218455</v>
      </c>
      <c r="AR27" s="14">
        <f t="shared" si="12"/>
        <v>44.880868863994074</v>
      </c>
      <c r="AS27" s="14">
        <f t="shared" si="13"/>
        <v>7.1352732693154328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1242561.7172957042</v>
      </c>
      <c r="P28" s="3">
        <f t="shared" si="18"/>
        <v>7600</v>
      </c>
      <c r="Q28" s="3">
        <v>249838.28270429591</v>
      </c>
      <c r="R28" s="3">
        <f t="shared" si="19"/>
        <v>7316</v>
      </c>
      <c r="S28" s="19"/>
      <c r="T28" s="10">
        <f t="shared" si="20"/>
        <v>625</v>
      </c>
      <c r="U28" s="16">
        <v>3086.0958611163078</v>
      </c>
      <c r="V28" s="5">
        <f t="shared" si="21"/>
        <v>1881.5011250592379</v>
      </c>
      <c r="W28" s="2">
        <f t="shared" si="22"/>
        <v>78.262863536031233</v>
      </c>
      <c r="X28" s="10">
        <f t="shared" ref="X28:X36" si="31">V28*T28/60/60*$S$14*10/(W28/100)/1000000*IF(V28&lt;$S$18,NA(),1)</f>
        <v>4.2154858764557481</v>
      </c>
      <c r="Y28" s="10"/>
      <c r="Z28" s="9">
        <f t="shared" si="23"/>
        <v>10.620000000000001</v>
      </c>
      <c r="AA28">
        <f t="shared" si="5"/>
        <v>5.5600000000000005</v>
      </c>
      <c r="AB28" s="10">
        <f t="shared" si="6"/>
        <v>4.2154858764557481</v>
      </c>
      <c r="AC28" s="11">
        <f t="shared" si="7"/>
        <v>9.1081081081081088</v>
      </c>
      <c r="AD28" s="11">
        <f t="shared" si="24"/>
        <v>29.503593984563857</v>
      </c>
      <c r="AF28" s="5">
        <f t="shared" si="8"/>
        <v>7600</v>
      </c>
      <c r="AG28" s="5">
        <f t="shared" si="9"/>
        <v>50000</v>
      </c>
      <c r="AH28" s="5">
        <f t="shared" si="25"/>
        <v>184922.28270429591</v>
      </c>
      <c r="AI28" s="5">
        <f t="shared" si="26"/>
        <v>242522.28270429591</v>
      </c>
      <c r="AJ28" s="5">
        <f t="shared" si="27"/>
        <v>531.12379912240806</v>
      </c>
      <c r="AK28" s="5">
        <f t="shared" si="30"/>
        <v>764460.22749902902</v>
      </c>
      <c r="AL28" s="5"/>
      <c r="AM28">
        <f t="shared" si="10"/>
        <v>2023</v>
      </c>
      <c r="AN28" s="10">
        <f t="shared" si="28"/>
        <v>16.290150000000001</v>
      </c>
      <c r="AP28" s="5">
        <f t="shared" si="11"/>
        <v>54.196306032898782</v>
      </c>
      <c r="AQ28" s="14">
        <f t="shared" si="29"/>
        <v>8.6162648700951951</v>
      </c>
      <c r="AR28" s="14">
        <f t="shared" si="12"/>
        <v>46.92775864550228</v>
      </c>
      <c r="AS28" s="14">
        <f t="shared" si="13"/>
        <v>7.4606929484105375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1336424.7483636027</v>
      </c>
      <c r="P29" s="3">
        <f t="shared" si="18"/>
        <v>7800</v>
      </c>
      <c r="Q29" s="3">
        <v>255775.25163639733</v>
      </c>
      <c r="R29" s="3">
        <f t="shared" si="19"/>
        <v>7316</v>
      </c>
      <c r="S29" s="19"/>
      <c r="T29" s="10">
        <f t="shared" si="20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2"/>
        <v>75.103488072919887</v>
      </c>
      <c r="X29" s="10">
        <f t="shared" si="31"/>
        <v>4.980803446149527</v>
      </c>
      <c r="Y29" s="10"/>
      <c r="Z29" s="9">
        <f t="shared" si="23"/>
        <v>10.620000000000001</v>
      </c>
      <c r="AA29">
        <f t="shared" si="5"/>
        <v>5.72</v>
      </c>
      <c r="AB29" s="10">
        <f t="shared" si="6"/>
        <v>4.980803446149527</v>
      </c>
      <c r="AC29" s="11">
        <f t="shared" si="7"/>
        <v>9.1081081081081088</v>
      </c>
      <c r="AD29" s="11">
        <f t="shared" si="24"/>
        <v>30.428911554257635</v>
      </c>
      <c r="AF29" s="5">
        <f t="shared" si="8"/>
        <v>7800</v>
      </c>
      <c r="AG29" s="5">
        <f t="shared" si="9"/>
        <v>50000</v>
      </c>
      <c r="AH29" s="5">
        <f t="shared" si="25"/>
        <v>190659.25163639733</v>
      </c>
      <c r="AI29" s="5">
        <f t="shared" si="26"/>
        <v>248459.25163639733</v>
      </c>
      <c r="AJ29" s="5">
        <f t="shared" si="27"/>
        <v>544.12576108371013</v>
      </c>
      <c r="AK29" s="5">
        <f t="shared" si="30"/>
        <v>963202.1617348541</v>
      </c>
      <c r="AL29" s="5"/>
      <c r="AM29">
        <f t="shared" si="10"/>
        <v>2024</v>
      </c>
      <c r="AN29" s="10">
        <f t="shared" si="28"/>
        <v>19.906124999999999</v>
      </c>
      <c r="AP29" s="5">
        <f t="shared" si="11"/>
        <v>54.962198089263651</v>
      </c>
      <c r="AQ29" s="14">
        <f t="shared" si="29"/>
        <v>8.7380283130784822</v>
      </c>
      <c r="AR29" s="14">
        <f t="shared" si="12"/>
        <v>48.387225627029579</v>
      </c>
      <c r="AS29" s="14">
        <f t="shared" si="13"/>
        <v>7.6927226752034308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1330028.5198999885</v>
      </c>
      <c r="P30" s="3">
        <f t="shared" si="18"/>
        <v>8000</v>
      </c>
      <c r="Q30" s="3">
        <v>261971.48010001139</v>
      </c>
      <c r="R30" s="3">
        <f t="shared" si="19"/>
        <v>7316</v>
      </c>
      <c r="S30" s="19"/>
      <c r="T30" s="10">
        <f t="shared" si="20"/>
        <v>750</v>
      </c>
      <c r="U30" s="16">
        <v>3316.6550762204715</v>
      </c>
      <c r="V30" s="5">
        <f t="shared" si="21"/>
        <v>1947.711974650548</v>
      </c>
      <c r="W30" s="2">
        <f t="shared" si="22"/>
        <v>74.004282858987835</v>
      </c>
      <c r="X30" s="10">
        <f t="shared" si="31"/>
        <v>5.5379370693130809</v>
      </c>
      <c r="Y30" s="10"/>
      <c r="Z30" s="9">
        <f t="shared" si="23"/>
        <v>10.620000000000001</v>
      </c>
      <c r="AA30">
        <f t="shared" si="5"/>
        <v>6.13</v>
      </c>
      <c r="AB30" s="10">
        <f t="shared" si="6"/>
        <v>5.5379370693130809</v>
      </c>
      <c r="AC30" s="11">
        <f t="shared" si="7"/>
        <v>9.1081081081081088</v>
      </c>
      <c r="AD30" s="11">
        <f t="shared" si="24"/>
        <v>31.39604517742119</v>
      </c>
      <c r="AF30" s="5">
        <f t="shared" si="8"/>
        <v>8000</v>
      </c>
      <c r="AG30" s="5">
        <f t="shared" si="9"/>
        <v>50000</v>
      </c>
      <c r="AH30" s="5">
        <f t="shared" si="25"/>
        <v>196655.48010001139</v>
      </c>
      <c r="AI30" s="5">
        <f t="shared" si="26"/>
        <v>254655.48010001139</v>
      </c>
      <c r="AJ30" s="5">
        <f t="shared" si="27"/>
        <v>557.69550141902494</v>
      </c>
      <c r="AK30" s="5">
        <f t="shared" si="30"/>
        <v>1166900.4436281528</v>
      </c>
      <c r="AL30" s="5"/>
      <c r="AM30">
        <f t="shared" si="10"/>
        <v>2024</v>
      </c>
      <c r="AN30" s="10">
        <f t="shared" si="28"/>
        <v>23.558624999999999</v>
      </c>
      <c r="AP30" s="5">
        <f t="shared" si="11"/>
        <v>55.769550141902492</v>
      </c>
      <c r="AQ30" s="14">
        <f t="shared" si="29"/>
        <v>8.8663831704137515</v>
      </c>
      <c r="AR30" s="14">
        <f t="shared" si="12"/>
        <v>49.531772063443974</v>
      </c>
      <c r="AS30" s="14">
        <f t="shared" si="13"/>
        <v>7.8746855426778968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1428884.5198999885</v>
      </c>
      <c r="P31" s="3">
        <f t="shared" si="18"/>
        <v>8200</v>
      </c>
      <c r="Q31" s="3">
        <v>262915.48010001139</v>
      </c>
      <c r="R31" s="3">
        <f t="shared" si="19"/>
        <v>7316</v>
      </c>
      <c r="S31" s="19"/>
      <c r="T31" s="10">
        <f t="shared" si="20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2"/>
        <v>74.004282858987835</v>
      </c>
      <c r="X31" s="10">
        <f t="shared" si="31"/>
        <v>5.5379370693130809</v>
      </c>
      <c r="Y31" s="10"/>
      <c r="Z31" s="9">
        <f t="shared" si="23"/>
        <v>10.620000000000001</v>
      </c>
      <c r="AA31">
        <f t="shared" si="5"/>
        <v>6.25</v>
      </c>
      <c r="AB31" s="10">
        <f t="shared" si="6"/>
        <v>5.5379370693130809</v>
      </c>
      <c r="AC31" s="11">
        <f t="shared" si="7"/>
        <v>9.1081081081081088</v>
      </c>
      <c r="AD31" s="11">
        <f t="shared" si="24"/>
        <v>31.516045177421191</v>
      </c>
      <c r="AF31" s="5">
        <f t="shared" si="8"/>
        <v>8200</v>
      </c>
      <c r="AG31" s="5">
        <f t="shared" si="9"/>
        <v>50000</v>
      </c>
      <c r="AH31" s="5">
        <f t="shared" si="25"/>
        <v>197399.48010001139</v>
      </c>
      <c r="AI31" s="5">
        <f t="shared" si="26"/>
        <v>255599.48010001139</v>
      </c>
      <c r="AJ31" s="5">
        <f t="shared" si="27"/>
        <v>559.76286141902494</v>
      </c>
      <c r="AK31" s="5">
        <f t="shared" si="30"/>
        <v>1371353.8287614516</v>
      </c>
      <c r="AL31" s="5"/>
      <c r="AM31">
        <f t="shared" si="10"/>
        <v>2026</v>
      </c>
      <c r="AN31" s="10">
        <f t="shared" si="28"/>
        <v>27.6129</v>
      </c>
      <c r="AP31" s="5">
        <f t="shared" si="11"/>
        <v>50.429086614326579</v>
      </c>
      <c r="AQ31" s="14">
        <f t="shared" si="29"/>
        <v>8.0173428639628899</v>
      </c>
      <c r="AR31" s="14">
        <f t="shared" si="12"/>
        <v>49.663520628454513</v>
      </c>
      <c r="AS31" s="14">
        <f t="shared" si="13"/>
        <v>7.8956312604856143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1813760.3329870254</v>
      </c>
      <c r="P32" s="3">
        <f t="shared" si="18"/>
        <v>9000</v>
      </c>
      <c r="Q32" s="3">
        <v>277239.66701297474</v>
      </c>
      <c r="R32" s="3">
        <f t="shared" si="19"/>
        <v>7315.9999999998836</v>
      </c>
      <c r="S32" s="19"/>
      <c r="T32" s="10">
        <f t="shared" si="20"/>
        <v>833.33333333333337</v>
      </c>
      <c r="U32" s="16">
        <v>3685.6717811091703</v>
      </c>
      <c r="V32" s="5">
        <f t="shared" si="21"/>
        <v>2405.6075059987475</v>
      </c>
      <c r="W32" s="2">
        <f t="shared" si="22"/>
        <v>74.010141431302316</v>
      </c>
      <c r="X32" s="10">
        <f t="shared" si="31"/>
        <v>7.5992575391458876</v>
      </c>
      <c r="Y32" s="10"/>
      <c r="Z32" s="9">
        <f t="shared" si="23"/>
        <v>10.620000000000001</v>
      </c>
      <c r="AA32">
        <f t="shared" si="5"/>
        <v>6.37</v>
      </c>
      <c r="AB32" s="10">
        <f t="shared" si="6"/>
        <v>7.5992575391458876</v>
      </c>
      <c r="AC32" s="11">
        <f t="shared" si="7"/>
        <v>9.1081081081081088</v>
      </c>
      <c r="AD32" s="11">
        <f t="shared" si="24"/>
        <v>33.697365647254003</v>
      </c>
      <c r="AF32" s="5">
        <f t="shared" si="8"/>
        <v>9000</v>
      </c>
      <c r="AG32" s="5">
        <f t="shared" si="9"/>
        <v>50000</v>
      </c>
      <c r="AH32" s="5">
        <f t="shared" si="25"/>
        <v>210923.66701297482</v>
      </c>
      <c r="AI32" s="5">
        <f t="shared" si="26"/>
        <v>269923.66701297485</v>
      </c>
      <c r="AJ32" s="5">
        <f t="shared" si="27"/>
        <v>591.13283075841491</v>
      </c>
      <c r="AK32" s="5">
        <f t="shared" si="30"/>
        <v>1587265.0951959626</v>
      </c>
      <c r="AL32" s="5"/>
      <c r="AM32">
        <f t="shared" si="10"/>
        <v>2027</v>
      </c>
      <c r="AN32" s="10">
        <f t="shared" si="28"/>
        <v>31.448025000000001</v>
      </c>
      <c r="AP32" s="5">
        <f t="shared" si="11"/>
        <v>56.298364834134752</v>
      </c>
      <c r="AQ32" s="14">
        <f t="shared" si="29"/>
        <v>8.9504554585269869</v>
      </c>
      <c r="AR32" s="14">
        <f t="shared" si="12"/>
        <v>50.47264797061063</v>
      </c>
      <c r="AS32" s="14">
        <f t="shared" si="13"/>
        <v>8.0242683578077312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837809.71729570406</v>
      </c>
      <c r="P33" s="3">
        <f t="shared" si="18"/>
        <v>7000</v>
      </c>
      <c r="Q33" s="3">
        <v>255190.28270429594</v>
      </c>
      <c r="R33" s="3">
        <f t="shared" si="19"/>
        <v>7316.0000000000291</v>
      </c>
      <c r="S33" s="19"/>
      <c r="T33" s="10">
        <f t="shared" si="20"/>
        <v>625</v>
      </c>
      <c r="U33" s="16">
        <v>3086.0958611163078</v>
      </c>
      <c r="V33" s="5">
        <f t="shared" si="21"/>
        <v>1881.5011250592379</v>
      </c>
      <c r="W33" s="2">
        <f t="shared" si="22"/>
        <v>78.262863536031233</v>
      </c>
      <c r="X33" s="10">
        <f t="shared" si="31"/>
        <v>4.2154858764557481</v>
      </c>
      <c r="Y33" s="10"/>
      <c r="Z33" s="9">
        <f t="shared" si="23"/>
        <v>10.620000000000001</v>
      </c>
      <c r="AA33">
        <f t="shared" si="5"/>
        <v>6.5200000000000005</v>
      </c>
      <c r="AB33" s="10">
        <f t="shared" si="6"/>
        <v>4.2154858764557481</v>
      </c>
      <c r="AC33" s="11">
        <f t="shared" si="7"/>
        <v>9.1081081081081088</v>
      </c>
      <c r="AD33" s="11">
        <f t="shared" si="24"/>
        <v>30.463593984563857</v>
      </c>
      <c r="AF33" s="5">
        <f t="shared" si="8"/>
        <v>7000</v>
      </c>
      <c r="AG33" s="5">
        <f t="shared" si="9"/>
        <v>50000</v>
      </c>
      <c r="AH33" s="5">
        <f t="shared" si="25"/>
        <v>190874.28270429591</v>
      </c>
      <c r="AI33" s="5">
        <f t="shared" si="26"/>
        <v>247874.28270429591</v>
      </c>
      <c r="AJ33" s="5">
        <f t="shared" si="27"/>
        <v>542.84467912240802</v>
      </c>
      <c r="AK33" s="5">
        <f t="shared" si="30"/>
        <v>1785539.1142454222</v>
      </c>
      <c r="AL33" s="5"/>
      <c r="AM33">
        <f t="shared" si="10"/>
        <v>2028</v>
      </c>
      <c r="AN33" s="10">
        <f t="shared" si="28"/>
        <v>34.917900000000003</v>
      </c>
      <c r="AP33" s="5">
        <f t="shared" si="11"/>
        <v>57.141545170779793</v>
      </c>
      <c r="AQ33" s="14">
        <f t="shared" si="29"/>
        <v>9.0845063864514781</v>
      </c>
      <c r="AR33" s="14">
        <f t="shared" si="12"/>
        <v>51.135352190292714</v>
      </c>
      <c r="AS33" s="14">
        <f t="shared" si="13"/>
        <v>8.1296267393152171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5000</v>
      </c>
      <c r="Q34" s="3">
        <v>212133.48010001139</v>
      </c>
      <c r="R34" s="3">
        <f t="shared" si="19"/>
        <v>7316</v>
      </c>
      <c r="S34" s="19"/>
      <c r="T34" s="10">
        <f t="shared" si="20"/>
        <v>750</v>
      </c>
      <c r="U34" s="16">
        <v>3316.6550762204715</v>
      </c>
      <c r="V34" s="5">
        <f t="shared" si="21"/>
        <v>1947.711974650548</v>
      </c>
      <c r="W34" s="2">
        <f t="shared" si="22"/>
        <v>74.004282858987835</v>
      </c>
      <c r="X34" s="10">
        <f t="shared" si="31"/>
        <v>5.5379370693130809</v>
      </c>
      <c r="Y34" s="10"/>
      <c r="Z34" s="9">
        <f t="shared" si="23"/>
        <v>10.620000000000001</v>
      </c>
      <c r="AA34">
        <f t="shared" si="5"/>
        <v>6.64</v>
      </c>
      <c r="AB34" s="10">
        <f t="shared" si="6"/>
        <v>5.5379370693130809</v>
      </c>
      <c r="AC34" s="11">
        <f t="shared" si="7"/>
        <v>9.1081081081081088</v>
      </c>
      <c r="AD34" s="11">
        <f t="shared" si="24"/>
        <v>31.906045177421191</v>
      </c>
      <c r="AF34" s="5">
        <f t="shared" si="8"/>
        <v>5000</v>
      </c>
      <c r="AG34" s="5">
        <f t="shared" si="9"/>
        <v>0</v>
      </c>
      <c r="AH34" s="5">
        <f t="shared" si="25"/>
        <v>199817.48010001139</v>
      </c>
      <c r="AI34" s="5">
        <f t="shared" si="26"/>
        <v>204817.48010001139</v>
      </c>
      <c r="AJ34" s="5">
        <f t="shared" si="27"/>
        <v>448.55028141902494</v>
      </c>
      <c r="AK34" s="5">
        <f t="shared" si="30"/>
        <v>1949372.104533721</v>
      </c>
      <c r="AL34" s="5"/>
      <c r="AM34">
        <f t="shared" si="10"/>
        <v>2029</v>
      </c>
      <c r="AN34" s="10">
        <f t="shared" si="28"/>
        <v>37.657275000000006</v>
      </c>
      <c r="AP34" s="5">
        <f t="shared" si="11"/>
        <v>59.806704189203323</v>
      </c>
      <c r="AQ34" s="14">
        <f t="shared" si="29"/>
        <v>9.5082200618765214</v>
      </c>
      <c r="AR34" s="14">
        <f t="shared" si="12"/>
        <v>51.766148892444306</v>
      </c>
      <c r="AS34" s="14">
        <f t="shared" si="13"/>
        <v>8.2299123835364565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4000</v>
      </c>
      <c r="Q35" s="3">
        <v>208671.25163639733</v>
      </c>
      <c r="R35" s="3">
        <f t="shared" si="19"/>
        <v>7315.9999999999709</v>
      </c>
      <c r="S35" s="19"/>
      <c r="T35" s="10">
        <f t="shared" si="20"/>
        <v>708.33333333333337</v>
      </c>
      <c r="U35" s="16">
        <v>3214.1196729831181</v>
      </c>
      <c r="V35" s="5">
        <f t="shared" si="21"/>
        <v>1882.3611843371705</v>
      </c>
      <c r="W35" s="2">
        <f t="shared" si="22"/>
        <v>75.103488072919887</v>
      </c>
      <c r="X35" s="10">
        <f t="shared" si="31"/>
        <v>4.980803446149527</v>
      </c>
      <c r="Y35" s="10"/>
      <c r="Z35" s="9">
        <f t="shared" si="23"/>
        <v>10.620000000000001</v>
      </c>
      <c r="AA35">
        <f t="shared" si="5"/>
        <v>6.8</v>
      </c>
      <c r="AB35" s="10">
        <f t="shared" si="6"/>
        <v>4.980803446149527</v>
      </c>
      <c r="AC35" s="11">
        <f t="shared" si="7"/>
        <v>9.1081081081081088</v>
      </c>
      <c r="AD35" s="11">
        <f t="shared" si="24"/>
        <v>31.508911554257637</v>
      </c>
      <c r="AF35" s="5">
        <f t="shared" si="8"/>
        <v>4000</v>
      </c>
      <c r="AG35" s="5">
        <f t="shared" si="9"/>
        <v>0</v>
      </c>
      <c r="AH35" s="5">
        <f t="shared" si="25"/>
        <v>197355.25163639736</v>
      </c>
      <c r="AI35" s="5">
        <f t="shared" si="26"/>
        <v>201355.25163639736</v>
      </c>
      <c r="AJ35" s="5">
        <f t="shared" si="27"/>
        <v>440.96800108371019</v>
      </c>
      <c r="AK35" s="5">
        <f t="shared" si="30"/>
        <v>2110435.6669295463</v>
      </c>
      <c r="AL35" s="5"/>
      <c r="AM35">
        <f t="shared" si="10"/>
        <v>2030</v>
      </c>
      <c r="AN35" s="10">
        <f t="shared" si="28"/>
        <v>40.579275000000003</v>
      </c>
      <c r="AP35" s="5">
        <f t="shared" si="11"/>
        <v>55.121000135463774</v>
      </c>
      <c r="AQ35" s="14">
        <f t="shared" si="29"/>
        <v>8.7632750612819983</v>
      </c>
      <c r="AR35" s="14">
        <f t="shared" si="12"/>
        <v>52.007722339286403</v>
      </c>
      <c r="AS35" s="14">
        <f t="shared" si="13"/>
        <v>8.2683183369294753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337515.71729570412</v>
      </c>
      <c r="P36" s="3">
        <f t="shared" si="18"/>
        <v>6000</v>
      </c>
      <c r="Q36" s="3">
        <v>256484.28270429588</v>
      </c>
      <c r="R36" s="3">
        <f t="shared" si="19"/>
        <v>7315.9999999999418</v>
      </c>
      <c r="S36" s="19"/>
      <c r="T36" s="10">
        <f t="shared" si="20"/>
        <v>625</v>
      </c>
      <c r="U36" s="16">
        <v>3086.0958611163078</v>
      </c>
      <c r="V36" s="5">
        <f t="shared" si="21"/>
        <v>1881.5011250592379</v>
      </c>
      <c r="W36" s="2">
        <f t="shared" si="22"/>
        <v>78.262863536031233</v>
      </c>
      <c r="X36" s="10">
        <f t="shared" si="31"/>
        <v>4.2154858764557481</v>
      </c>
      <c r="Y36" s="10"/>
      <c r="Z36" s="9">
        <f t="shared" si="23"/>
        <v>10.620000000000001</v>
      </c>
      <c r="AA36">
        <f t="shared" si="5"/>
        <v>6.89</v>
      </c>
      <c r="AB36" s="10">
        <f t="shared" si="6"/>
        <v>4.2154858764557481</v>
      </c>
      <c r="AC36" s="11">
        <f t="shared" si="7"/>
        <v>9.1081081081081088</v>
      </c>
      <c r="AD36" s="11">
        <f t="shared" si="24"/>
        <v>30.833593984563858</v>
      </c>
      <c r="AF36" s="5">
        <f t="shared" si="8"/>
        <v>6000</v>
      </c>
      <c r="AG36" s="5">
        <f t="shared" si="9"/>
        <v>50000</v>
      </c>
      <c r="AH36" s="5">
        <f t="shared" si="25"/>
        <v>193168.28270429594</v>
      </c>
      <c r="AI36" s="5">
        <f t="shared" si="26"/>
        <v>249168.28270429594</v>
      </c>
      <c r="AJ36" s="5">
        <f t="shared" si="27"/>
        <v>545.6785391224081</v>
      </c>
      <c r="AK36" s="5">
        <f t="shared" si="30"/>
        <v>2309744.7533440059</v>
      </c>
      <c r="AL36" s="5"/>
      <c r="AM36">
        <f t="shared" si="10"/>
        <v>2031</v>
      </c>
      <c r="AN36" s="10">
        <f t="shared" si="28"/>
        <v>43.136025000000004</v>
      </c>
      <c r="AP36" s="5">
        <f t="shared" si="11"/>
        <v>77.954077017486881</v>
      </c>
      <c r="AQ36" s="14">
        <f t="shared" si="29"/>
        <v>12.393334978932732</v>
      </c>
      <c r="AR36" s="14">
        <f t="shared" si="12"/>
        <v>53.545609576774993</v>
      </c>
      <c r="AS36" s="14">
        <f t="shared" si="13"/>
        <v>8.5128155130007936</v>
      </c>
    </row>
    <row r="38" spans="1:45">
      <c r="N38" s="3"/>
      <c r="Z38" s="11">
        <f>AVERAGE(Z25:Z36)</f>
        <v>10.620000000000003</v>
      </c>
      <c r="AA38" s="11">
        <f t="shared" ref="AA38:AD38" si="32">AVERAGE(AA25:AA36)</f>
        <v>5.9924999999999997</v>
      </c>
      <c r="AB38" s="11">
        <f t="shared" si="32"/>
        <v>4.9158288427015835</v>
      </c>
      <c r="AC38" s="11">
        <f t="shared" si="32"/>
        <v>9.1081081081081106</v>
      </c>
      <c r="AD38" s="11">
        <f t="shared" si="32"/>
        <v>30.636436950809696</v>
      </c>
      <c r="AF38" s="2">
        <f t="shared" ref="AF38:AI38" si="33">AVERAGE(AF25:AF36)</f>
        <v>7016.666666666667</v>
      </c>
      <c r="AG38" s="2">
        <f t="shared" si="33"/>
        <v>41666.666666666664</v>
      </c>
      <c r="AH38" s="2">
        <f t="shared" si="33"/>
        <v>191945.90909502012</v>
      </c>
      <c r="AI38" s="2">
        <f t="shared" si="33"/>
        <v>240629.24242835349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7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421B4-D649-4C79-91ED-EBF0E6143515}">
  <sheetPr codeName="Sheet7">
    <tabColor rgb="FFFF0000"/>
  </sheetPr>
  <dimension ref="A1:AZ50"/>
  <sheetViews>
    <sheetView topLeftCell="L13" zoomScaleNormal="100" workbookViewId="0">
      <selection activeCell="Z25" sqref="Z25:Z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-7316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f t="shared" ref="Z25:Z36" si="5">11.8*1.1</f>
        <v>12.980000000000002</v>
      </c>
      <c r="AA25">
        <f t="shared" ref="AA25:AA36" si="6">LinearInterpolation(K25,$A$5:$A$19,$B$5:$B$19)</f>
        <v>4.8899999999999997</v>
      </c>
      <c r="AB25" s="10">
        <f t="shared" ref="AB25:AB36" si="7">X25</f>
        <v>4.5903504012688341</v>
      </c>
      <c r="AC25" s="11">
        <f t="shared" ref="AC25:AC36" si="8">LinearInterpolation(M25,$P$5:$P$11,$Q$5:$Q$11)</f>
        <v>9.1081081081081088</v>
      </c>
      <c r="AD25" s="11">
        <f>SUM(Z25:AC25)</f>
        <v>31.568458509376942</v>
      </c>
      <c r="AF25" s="5">
        <f t="shared" ref="AF25:AF36" si="9">P25</f>
        <v>7000</v>
      </c>
      <c r="AG25" s="5">
        <f t="shared" ref="AG25:AG36" si="10">LinearInterpolation(O25,$D$5:$D$9,$E$5:$E$9)</f>
        <v>50000</v>
      </c>
      <c r="AH25" s="5">
        <f>LinearInterpolation(AD25,$H$5:$H$10,$I$5:$I$10)</f>
        <v>197724.44275813704</v>
      </c>
      <c r="AI25" s="5">
        <f>SUM(AF25:AH25)</f>
        <v>254724.44275813704</v>
      </c>
      <c r="AJ25" s="5">
        <f>$AG$18*AI25/1000</f>
        <v>557.84652964032011</v>
      </c>
      <c r="AK25" s="5">
        <f>AJ25*365.25</f>
        <v>203753.44495112693</v>
      </c>
      <c r="AL25" s="5"/>
      <c r="AM25">
        <f t="shared" ref="AM25:AM36" si="11">YEAR(A25)</f>
        <v>2020</v>
      </c>
      <c r="AN25" s="10">
        <f>J25*0.00036525</f>
        <v>4.5656249999999998</v>
      </c>
      <c r="AP25" s="5">
        <f t="shared" ref="AP25:AP36" si="12">AJ25*1000/J25</f>
        <v>44.627722371225609</v>
      </c>
      <c r="AQ25" s="14">
        <f>AP25/6.29</f>
        <v>7.0950274040104304</v>
      </c>
      <c r="AR25" s="14">
        <f t="shared" ref="AR25:AR36" si="13">AK25/AN25/1000</f>
        <v>44.627722371225616</v>
      </c>
      <c r="AS25" s="14">
        <f t="shared" ref="AS25:AS36" si="14">AR25/6.29</f>
        <v>7.0950274040104313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5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6">MIN($M$19,E26-$M$17)</f>
        <v>18000</v>
      </c>
      <c r="N26" s="3">
        <f t="shared" ref="N26:N36" si="17">L26+M26</f>
        <v>33000</v>
      </c>
      <c r="O26" s="3">
        <f t="shared" ref="O26:O36" si="18">MAX(C26-F26-P26-Q26,0)</f>
        <v>1146771.7172957039</v>
      </c>
      <c r="P26" s="3">
        <f t="shared" ref="P26:P36" si="19">C26*$P$22</f>
        <v>7200</v>
      </c>
      <c r="Q26" s="3">
        <v>246028.28270429594</v>
      </c>
      <c r="R26" s="3">
        <f t="shared" ref="R26:R36" si="20">Q26-AI26</f>
        <v>-7316</v>
      </c>
      <c r="S26" s="19"/>
      <c r="T26" s="10">
        <f t="shared" ref="T26:T36" si="21">L26/24</f>
        <v>625</v>
      </c>
      <c r="U26" s="16">
        <v>3086.0958611163078</v>
      </c>
      <c r="V26" s="5">
        <f t="shared" ref="V26:V36" si="22">LinearInterpolation(T26/U26,$AE$6:$AE$11,$AF$6:$AF$11)*U26*U26</f>
        <v>1881.5011250592379</v>
      </c>
      <c r="W26" s="2">
        <f t="shared" ref="W26:W36" si="23">LinearInterpolation(T26/U26,$AE$6:$AE$11,$AC$6:$AC$11)</f>
        <v>78.262863536031233</v>
      </c>
      <c r="X26" s="10">
        <f t="shared" si="4"/>
        <v>4.2154858764557481</v>
      </c>
      <c r="Z26" s="9">
        <f t="shared" si="5"/>
        <v>12.980000000000002</v>
      </c>
      <c r="AA26">
        <f t="shared" si="6"/>
        <v>5.01</v>
      </c>
      <c r="AB26" s="10">
        <f t="shared" si="7"/>
        <v>4.2154858764557481</v>
      </c>
      <c r="AC26" s="11">
        <f t="shared" si="8"/>
        <v>9.1081081081081088</v>
      </c>
      <c r="AD26" s="11">
        <f t="shared" ref="AD26:AD36" si="24">SUM(Z26:AC26)</f>
        <v>31.313593984563859</v>
      </c>
      <c r="AF26" s="5">
        <f t="shared" si="9"/>
        <v>7200</v>
      </c>
      <c r="AG26" s="5">
        <f t="shared" si="10"/>
        <v>50000</v>
      </c>
      <c r="AH26" s="5">
        <f t="shared" ref="AH26:AH36" si="25">LinearInterpolation(AD26,$H$5:$H$10,$I$5:$I$10)</f>
        <v>196144.28270429594</v>
      </c>
      <c r="AI26" s="5">
        <f t="shared" ref="AI26:AI36" si="26">SUM(AF26:AH26)</f>
        <v>253344.28270429594</v>
      </c>
      <c r="AJ26" s="5">
        <f t="shared" ref="AJ26:AJ36" si="27">$AG$18*AI26/1000</f>
        <v>554.8239791224081</v>
      </c>
      <c r="AK26" s="5">
        <f>AJ26*365.25+AK25</f>
        <v>406402.90332558646</v>
      </c>
      <c r="AL26" s="5"/>
      <c r="AM26">
        <f t="shared" si="11"/>
        <v>2021</v>
      </c>
      <c r="AN26" s="10">
        <f t="shared" ref="AN26:AN36" si="28">J26*0.00036525+AN25</f>
        <v>8.8025249999999993</v>
      </c>
      <c r="AP26" s="5">
        <f t="shared" si="12"/>
        <v>47.829653372621387</v>
      </c>
      <c r="AQ26" s="14">
        <f t="shared" ref="AQ26:AQ36" si="29">AP26/6.29</f>
        <v>7.6040784376186625</v>
      </c>
      <c r="AR26" s="14">
        <f t="shared" si="13"/>
        <v>46.168900778536447</v>
      </c>
      <c r="AS26" s="14">
        <f t="shared" si="14"/>
        <v>7.3400478185272569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5"/>
        <v>10700</v>
      </c>
      <c r="K27" s="3">
        <f t="shared" si="2"/>
        <v>2410000</v>
      </c>
      <c r="L27" s="3">
        <f t="shared" si="3"/>
        <v>12000</v>
      </c>
      <c r="M27" s="3">
        <f t="shared" si="16"/>
        <v>18000</v>
      </c>
      <c r="N27" s="3">
        <f t="shared" si="17"/>
        <v>30000</v>
      </c>
      <c r="O27" s="3">
        <f t="shared" si="18"/>
        <v>1250913.2750208832</v>
      </c>
      <c r="P27" s="3">
        <f t="shared" si="19"/>
        <v>7400</v>
      </c>
      <c r="Q27" s="3">
        <v>241686.72497911679</v>
      </c>
      <c r="R27" s="3">
        <f t="shared" si="20"/>
        <v>-7316.0000000000291</v>
      </c>
      <c r="S27" s="19"/>
      <c r="T27" s="10">
        <f t="shared" si="21"/>
        <v>500</v>
      </c>
      <c r="U27" s="16">
        <v>2955.1311952574533</v>
      </c>
      <c r="V27" s="5">
        <f t="shared" si="22"/>
        <v>1881.8565993359873</v>
      </c>
      <c r="W27" s="2">
        <f t="shared" si="23"/>
        <v>78.496729511784963</v>
      </c>
      <c r="X27" s="10">
        <f>V27*T27/60/60*$S$14*10/(W27/100)/1000000*IF(V27&lt;$S$18,NA(),1)</f>
        <v>3.3629765659429873</v>
      </c>
      <c r="Y27" s="10"/>
      <c r="Z27" s="9">
        <f t="shared" si="5"/>
        <v>12.980000000000002</v>
      </c>
      <c r="AA27">
        <f t="shared" si="6"/>
        <v>5.13</v>
      </c>
      <c r="AB27" s="10">
        <f t="shared" si="7"/>
        <v>3.3629765659429873</v>
      </c>
      <c r="AC27" s="11">
        <f t="shared" si="8"/>
        <v>9.1081081081081088</v>
      </c>
      <c r="AD27" s="11">
        <f t="shared" si="24"/>
        <v>30.581084674051098</v>
      </c>
      <c r="AF27" s="5">
        <f t="shared" si="9"/>
        <v>7400</v>
      </c>
      <c r="AG27" s="5">
        <f t="shared" si="10"/>
        <v>50000</v>
      </c>
      <c r="AH27" s="5">
        <f t="shared" si="25"/>
        <v>191602.72497911681</v>
      </c>
      <c r="AI27" s="5">
        <f t="shared" si="26"/>
        <v>249002.72497911681</v>
      </c>
      <c r="AJ27" s="5">
        <f t="shared" si="27"/>
        <v>545.31596770426586</v>
      </c>
      <c r="AK27" s="5">
        <f t="shared" ref="AK27:AK36" si="30">AJ27*365.25+AK26</f>
        <v>605579.56052956963</v>
      </c>
      <c r="AL27" s="5"/>
      <c r="AM27">
        <f t="shared" si="11"/>
        <v>2022</v>
      </c>
      <c r="AN27" s="10">
        <f t="shared" si="28"/>
        <v>12.710699999999999</v>
      </c>
      <c r="AP27" s="5">
        <f t="shared" si="12"/>
        <v>50.964109131239802</v>
      </c>
      <c r="AQ27" s="14">
        <f t="shared" si="29"/>
        <v>8.102402087637488</v>
      </c>
      <c r="AR27" s="14">
        <f t="shared" si="13"/>
        <v>47.643289553649261</v>
      </c>
      <c r="AS27" s="14">
        <f t="shared" si="14"/>
        <v>7.5744498495467827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5"/>
        <v>9800</v>
      </c>
      <c r="K28" s="3">
        <f t="shared" si="2"/>
        <v>2540000</v>
      </c>
      <c r="L28" s="3">
        <f t="shared" si="3"/>
        <v>15000</v>
      </c>
      <c r="M28" s="3">
        <f t="shared" si="16"/>
        <v>18000</v>
      </c>
      <c r="N28" s="3">
        <f t="shared" si="17"/>
        <v>33000</v>
      </c>
      <c r="O28" s="3">
        <f t="shared" si="18"/>
        <v>1242561.7172957042</v>
      </c>
      <c r="P28" s="3">
        <f t="shared" si="19"/>
        <v>7600</v>
      </c>
      <c r="Q28" s="3">
        <v>249838.28270429591</v>
      </c>
      <c r="R28" s="3">
        <f t="shared" si="20"/>
        <v>-7316.0000000000291</v>
      </c>
      <c r="S28" s="19"/>
      <c r="T28" s="10">
        <f t="shared" si="21"/>
        <v>625</v>
      </c>
      <c r="U28" s="16">
        <v>3086.0958611163078</v>
      </c>
      <c r="V28" s="5">
        <f t="shared" si="22"/>
        <v>1881.5011250592379</v>
      </c>
      <c r="W28" s="2">
        <f t="shared" si="23"/>
        <v>78.262863536031233</v>
      </c>
      <c r="X28" s="10">
        <f t="shared" ref="X28:X36" si="31">V28*T28/60/60*$S$14*10/(W28/100)/1000000*IF(V28&lt;$S$18,NA(),1)</f>
        <v>4.2154858764557481</v>
      </c>
      <c r="Y28" s="10"/>
      <c r="Z28" s="9">
        <f t="shared" si="5"/>
        <v>12.980000000000002</v>
      </c>
      <c r="AA28">
        <f t="shared" si="6"/>
        <v>5.5600000000000005</v>
      </c>
      <c r="AB28" s="10">
        <f t="shared" si="7"/>
        <v>4.2154858764557481</v>
      </c>
      <c r="AC28" s="11">
        <f t="shared" si="8"/>
        <v>9.1081081081081088</v>
      </c>
      <c r="AD28" s="11">
        <f t="shared" si="24"/>
        <v>31.86359398456386</v>
      </c>
      <c r="AF28" s="5">
        <f t="shared" si="9"/>
        <v>7600</v>
      </c>
      <c r="AG28" s="5">
        <f t="shared" si="10"/>
        <v>50000</v>
      </c>
      <c r="AH28" s="5">
        <f t="shared" si="25"/>
        <v>199554.28270429594</v>
      </c>
      <c r="AI28" s="5">
        <f t="shared" si="26"/>
        <v>257154.28270429594</v>
      </c>
      <c r="AJ28" s="5">
        <f t="shared" si="27"/>
        <v>563.16787912240807</v>
      </c>
      <c r="AK28" s="5">
        <f t="shared" si="30"/>
        <v>811276.62837902922</v>
      </c>
      <c r="AL28" s="5"/>
      <c r="AM28">
        <f t="shared" si="11"/>
        <v>2023</v>
      </c>
      <c r="AN28" s="10">
        <f t="shared" si="28"/>
        <v>16.290150000000001</v>
      </c>
      <c r="AP28" s="5">
        <f t="shared" si="12"/>
        <v>57.466110114531439</v>
      </c>
      <c r="AQ28" s="14">
        <f t="shared" si="29"/>
        <v>9.136106536491484</v>
      </c>
      <c r="AR28" s="14">
        <f t="shared" si="13"/>
        <v>49.801667165681671</v>
      </c>
      <c r="AS28" s="14">
        <f t="shared" si="14"/>
        <v>7.9175941439875475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5"/>
        <v>9900</v>
      </c>
      <c r="K29" s="3">
        <f t="shared" si="2"/>
        <v>2580000</v>
      </c>
      <c r="L29" s="3">
        <f t="shared" si="3"/>
        <v>17000</v>
      </c>
      <c r="M29" s="3">
        <f t="shared" si="16"/>
        <v>18000</v>
      </c>
      <c r="N29" s="3">
        <f t="shared" si="17"/>
        <v>35000</v>
      </c>
      <c r="O29" s="3">
        <f t="shared" si="18"/>
        <v>1336424.7483636027</v>
      </c>
      <c r="P29" s="3">
        <f t="shared" si="19"/>
        <v>7800</v>
      </c>
      <c r="Q29" s="3">
        <v>255775.25163639733</v>
      </c>
      <c r="R29" s="3">
        <f t="shared" si="20"/>
        <v>-7316</v>
      </c>
      <c r="S29" s="19"/>
      <c r="T29" s="10">
        <f t="shared" si="21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3"/>
        <v>75.103488072919887</v>
      </c>
      <c r="X29" s="10">
        <f t="shared" si="31"/>
        <v>4.980803446149527</v>
      </c>
      <c r="Y29" s="10"/>
      <c r="Z29" s="9">
        <f t="shared" si="5"/>
        <v>12.980000000000002</v>
      </c>
      <c r="AA29">
        <f t="shared" si="6"/>
        <v>5.72</v>
      </c>
      <c r="AB29" s="10">
        <f t="shared" si="7"/>
        <v>4.980803446149527</v>
      </c>
      <c r="AC29" s="11">
        <f t="shared" si="8"/>
        <v>9.1081081081081088</v>
      </c>
      <c r="AD29" s="11">
        <f t="shared" si="24"/>
        <v>32.788911554257638</v>
      </c>
      <c r="AF29" s="5">
        <f t="shared" si="9"/>
        <v>7800</v>
      </c>
      <c r="AG29" s="5">
        <f t="shared" si="10"/>
        <v>50000</v>
      </c>
      <c r="AH29" s="5">
        <f t="shared" si="25"/>
        <v>205291.25163639736</v>
      </c>
      <c r="AI29" s="5">
        <f t="shared" si="26"/>
        <v>263091.25163639733</v>
      </c>
      <c r="AJ29" s="5">
        <f t="shared" si="27"/>
        <v>576.16984108371003</v>
      </c>
      <c r="AK29" s="5">
        <f t="shared" si="30"/>
        <v>1021722.6628348543</v>
      </c>
      <c r="AL29" s="5"/>
      <c r="AM29">
        <f t="shared" si="11"/>
        <v>2024</v>
      </c>
      <c r="AN29" s="10">
        <f t="shared" si="28"/>
        <v>19.906124999999999</v>
      </c>
      <c r="AP29" s="5">
        <f t="shared" si="12"/>
        <v>58.198973846839401</v>
      </c>
      <c r="AQ29" s="14">
        <f t="shared" si="29"/>
        <v>9.2526190535515749</v>
      </c>
      <c r="AR29" s="14">
        <f t="shared" si="13"/>
        <v>51.327049480240596</v>
      </c>
      <c r="AS29" s="14">
        <f t="shared" si="14"/>
        <v>8.1601032560000952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5"/>
        <v>10000</v>
      </c>
      <c r="K30" s="3">
        <f t="shared" si="2"/>
        <v>2710000</v>
      </c>
      <c r="L30" s="3">
        <f t="shared" si="3"/>
        <v>18000</v>
      </c>
      <c r="M30" s="3">
        <f t="shared" si="16"/>
        <v>18000</v>
      </c>
      <c r="N30" s="3">
        <f t="shared" si="17"/>
        <v>36000</v>
      </c>
      <c r="O30" s="3">
        <f t="shared" si="18"/>
        <v>1330028.5198999885</v>
      </c>
      <c r="P30" s="3">
        <f t="shared" si="19"/>
        <v>8000</v>
      </c>
      <c r="Q30" s="3">
        <v>261971.48010001139</v>
      </c>
      <c r="R30" s="3">
        <f t="shared" si="20"/>
        <v>-7316</v>
      </c>
      <c r="S30" s="19"/>
      <c r="T30" s="10">
        <f t="shared" si="21"/>
        <v>750</v>
      </c>
      <c r="U30" s="16">
        <v>3316.6550762204715</v>
      </c>
      <c r="V30" s="5">
        <f t="shared" si="22"/>
        <v>1947.711974650548</v>
      </c>
      <c r="W30" s="2">
        <f t="shared" si="23"/>
        <v>74.004282858987835</v>
      </c>
      <c r="X30" s="10">
        <f t="shared" si="31"/>
        <v>5.5379370693130809</v>
      </c>
      <c r="Y30" s="10"/>
      <c r="Z30" s="9">
        <f t="shared" si="5"/>
        <v>12.980000000000002</v>
      </c>
      <c r="AA30">
        <f t="shared" si="6"/>
        <v>6.13</v>
      </c>
      <c r="AB30" s="10">
        <f t="shared" si="7"/>
        <v>5.5379370693130809</v>
      </c>
      <c r="AC30" s="11">
        <f t="shared" si="8"/>
        <v>9.1081081081081088</v>
      </c>
      <c r="AD30" s="11">
        <f t="shared" si="24"/>
        <v>33.756045177421193</v>
      </c>
      <c r="AF30" s="5">
        <f t="shared" si="9"/>
        <v>8000</v>
      </c>
      <c r="AG30" s="5">
        <f t="shared" si="10"/>
        <v>50000</v>
      </c>
      <c r="AH30" s="5">
        <f t="shared" si="25"/>
        <v>211287.48010001139</v>
      </c>
      <c r="AI30" s="5">
        <f t="shared" si="26"/>
        <v>269287.48010001139</v>
      </c>
      <c r="AJ30" s="5">
        <f t="shared" si="27"/>
        <v>589.73958141902494</v>
      </c>
      <c r="AK30" s="5">
        <f t="shared" si="30"/>
        <v>1237125.0449481532</v>
      </c>
      <c r="AL30" s="5"/>
      <c r="AM30">
        <f t="shared" si="11"/>
        <v>2024</v>
      </c>
      <c r="AN30" s="10">
        <f t="shared" si="28"/>
        <v>23.558624999999999</v>
      </c>
      <c r="AP30" s="5">
        <f t="shared" si="12"/>
        <v>58.9739581419025</v>
      </c>
      <c r="AQ30" s="14">
        <f t="shared" si="29"/>
        <v>9.3758280034821144</v>
      </c>
      <c r="AR30" s="14">
        <f t="shared" si="13"/>
        <v>52.512616714606779</v>
      </c>
      <c r="AS30" s="14">
        <f t="shared" si="14"/>
        <v>8.3485877129740498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5"/>
        <v>11100</v>
      </c>
      <c r="K31" s="3">
        <f t="shared" si="2"/>
        <v>2750000</v>
      </c>
      <c r="L31" s="3">
        <f t="shared" si="3"/>
        <v>18000</v>
      </c>
      <c r="M31" s="3">
        <f t="shared" si="16"/>
        <v>18000</v>
      </c>
      <c r="N31" s="3">
        <f t="shared" si="17"/>
        <v>36000</v>
      </c>
      <c r="O31" s="3">
        <f t="shared" si="18"/>
        <v>1428884.5198999885</v>
      </c>
      <c r="P31" s="3">
        <f t="shared" si="19"/>
        <v>8200</v>
      </c>
      <c r="Q31" s="3">
        <v>262915.48010001139</v>
      </c>
      <c r="R31" s="3">
        <f t="shared" si="20"/>
        <v>-7316</v>
      </c>
      <c r="S31" s="19"/>
      <c r="T31" s="10">
        <f t="shared" si="21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3"/>
        <v>74.004282858987835</v>
      </c>
      <c r="X31" s="10">
        <f t="shared" si="31"/>
        <v>5.5379370693130809</v>
      </c>
      <c r="Y31" s="10"/>
      <c r="Z31" s="9">
        <f t="shared" si="5"/>
        <v>12.980000000000002</v>
      </c>
      <c r="AA31">
        <f t="shared" si="6"/>
        <v>6.25</v>
      </c>
      <c r="AB31" s="10">
        <f t="shared" si="7"/>
        <v>5.5379370693130809</v>
      </c>
      <c r="AC31" s="11">
        <f t="shared" si="8"/>
        <v>9.1081081081081088</v>
      </c>
      <c r="AD31" s="11">
        <f t="shared" si="24"/>
        <v>33.87604517742119</v>
      </c>
      <c r="AF31" s="5">
        <f t="shared" si="9"/>
        <v>8200</v>
      </c>
      <c r="AG31" s="5">
        <f t="shared" si="10"/>
        <v>50000</v>
      </c>
      <c r="AH31" s="5">
        <f t="shared" si="25"/>
        <v>212031.48010001139</v>
      </c>
      <c r="AI31" s="5">
        <f t="shared" si="26"/>
        <v>270231.48010001139</v>
      </c>
      <c r="AJ31" s="5">
        <f t="shared" si="27"/>
        <v>591.80694141902495</v>
      </c>
      <c r="AK31" s="5">
        <f t="shared" si="30"/>
        <v>1453282.5303014521</v>
      </c>
      <c r="AL31" s="5"/>
      <c r="AM31">
        <f t="shared" si="11"/>
        <v>2026</v>
      </c>
      <c r="AN31" s="10">
        <f t="shared" si="28"/>
        <v>27.6129</v>
      </c>
      <c r="AP31" s="5">
        <f t="shared" si="12"/>
        <v>53.315940668380627</v>
      </c>
      <c r="AQ31" s="14">
        <f t="shared" si="29"/>
        <v>8.4763021730334867</v>
      </c>
      <c r="AR31" s="14">
        <f t="shared" si="13"/>
        <v>52.630565072898982</v>
      </c>
      <c r="AS31" s="14">
        <f t="shared" si="14"/>
        <v>8.3673394392526195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5"/>
        <v>10500</v>
      </c>
      <c r="K32" s="3">
        <f t="shared" si="2"/>
        <v>2790000</v>
      </c>
      <c r="L32" s="3">
        <f t="shared" si="3"/>
        <v>20000</v>
      </c>
      <c r="M32" s="3">
        <f t="shared" si="16"/>
        <v>18000</v>
      </c>
      <c r="N32" s="3">
        <f t="shared" si="17"/>
        <v>38000</v>
      </c>
      <c r="O32" s="3">
        <f t="shared" si="18"/>
        <v>1813760.3329870254</v>
      </c>
      <c r="P32" s="3">
        <f t="shared" si="19"/>
        <v>9000</v>
      </c>
      <c r="Q32" s="3">
        <v>277239.66701297474</v>
      </c>
      <c r="R32" s="3">
        <f t="shared" si="20"/>
        <v>-7316.0000000001164</v>
      </c>
      <c r="S32" s="19"/>
      <c r="T32" s="10">
        <f t="shared" si="21"/>
        <v>833.33333333333337</v>
      </c>
      <c r="U32" s="16">
        <v>3685.6717811091703</v>
      </c>
      <c r="V32" s="5">
        <f t="shared" si="22"/>
        <v>2405.6075059987475</v>
      </c>
      <c r="W32" s="2">
        <f t="shared" si="23"/>
        <v>74.010141431302316</v>
      </c>
      <c r="X32" s="10">
        <f t="shared" si="31"/>
        <v>7.5992575391458876</v>
      </c>
      <c r="Y32" s="10"/>
      <c r="Z32" s="9">
        <f t="shared" si="5"/>
        <v>12.980000000000002</v>
      </c>
      <c r="AA32">
        <f t="shared" si="6"/>
        <v>6.37</v>
      </c>
      <c r="AB32" s="10">
        <f t="shared" si="7"/>
        <v>7.5992575391458876</v>
      </c>
      <c r="AC32" s="11">
        <f t="shared" si="8"/>
        <v>9.1081081081081088</v>
      </c>
      <c r="AD32" s="11">
        <f t="shared" si="24"/>
        <v>36.057365647254002</v>
      </c>
      <c r="AF32" s="5">
        <f t="shared" si="9"/>
        <v>9000</v>
      </c>
      <c r="AG32" s="5">
        <f t="shared" si="10"/>
        <v>50000</v>
      </c>
      <c r="AH32" s="5">
        <f t="shared" si="25"/>
        <v>225555.66701297482</v>
      </c>
      <c r="AI32" s="5">
        <f t="shared" si="26"/>
        <v>284555.66701297485</v>
      </c>
      <c r="AJ32" s="5">
        <f t="shared" si="27"/>
        <v>623.17691075841492</v>
      </c>
      <c r="AK32" s="5">
        <f t="shared" si="30"/>
        <v>1680897.8969559632</v>
      </c>
      <c r="AL32" s="5"/>
      <c r="AM32">
        <f t="shared" si="11"/>
        <v>2027</v>
      </c>
      <c r="AN32" s="10">
        <f t="shared" si="28"/>
        <v>31.448025000000001</v>
      </c>
      <c r="AP32" s="5">
        <f t="shared" si="12"/>
        <v>59.350181976991891</v>
      </c>
      <c r="AQ32" s="14">
        <f t="shared" si="29"/>
        <v>9.4356410138301889</v>
      </c>
      <c r="AR32" s="14">
        <f t="shared" si="13"/>
        <v>53.45003054900787</v>
      </c>
      <c r="AS32" s="14">
        <f t="shared" si="14"/>
        <v>8.4976201190791532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5"/>
        <v>9500</v>
      </c>
      <c r="K33" s="3">
        <f t="shared" si="2"/>
        <v>2830000</v>
      </c>
      <c r="L33" s="3">
        <f t="shared" si="3"/>
        <v>15000</v>
      </c>
      <c r="M33" s="3">
        <f t="shared" si="16"/>
        <v>18000</v>
      </c>
      <c r="N33" s="3">
        <f t="shared" si="17"/>
        <v>33000</v>
      </c>
      <c r="O33" s="3">
        <f t="shared" si="18"/>
        <v>837809.71729570406</v>
      </c>
      <c r="P33" s="3">
        <f t="shared" si="19"/>
        <v>7000</v>
      </c>
      <c r="Q33" s="3">
        <v>255190.28270429594</v>
      </c>
      <c r="R33" s="3">
        <f t="shared" si="20"/>
        <v>-7316</v>
      </c>
      <c r="S33" s="19"/>
      <c r="T33" s="10">
        <f t="shared" si="21"/>
        <v>625</v>
      </c>
      <c r="U33" s="16">
        <v>3086.0958611163078</v>
      </c>
      <c r="V33" s="5">
        <f t="shared" si="22"/>
        <v>1881.5011250592379</v>
      </c>
      <c r="W33" s="2">
        <f t="shared" si="23"/>
        <v>78.262863536031233</v>
      </c>
      <c r="X33" s="10">
        <f t="shared" si="31"/>
        <v>4.2154858764557481</v>
      </c>
      <c r="Y33" s="10"/>
      <c r="Z33" s="9">
        <f t="shared" si="5"/>
        <v>12.980000000000002</v>
      </c>
      <c r="AA33">
        <f t="shared" si="6"/>
        <v>6.5200000000000005</v>
      </c>
      <c r="AB33" s="10">
        <f t="shared" si="7"/>
        <v>4.2154858764557481</v>
      </c>
      <c r="AC33" s="11">
        <f t="shared" si="8"/>
        <v>9.1081081081081088</v>
      </c>
      <c r="AD33" s="11">
        <f t="shared" si="24"/>
        <v>32.823593984563857</v>
      </c>
      <c r="AF33" s="5">
        <f t="shared" si="9"/>
        <v>7000</v>
      </c>
      <c r="AG33" s="5">
        <f t="shared" si="10"/>
        <v>50000</v>
      </c>
      <c r="AH33" s="5">
        <f t="shared" si="25"/>
        <v>205506.28270429591</v>
      </c>
      <c r="AI33" s="5">
        <f t="shared" si="26"/>
        <v>262506.28270429594</v>
      </c>
      <c r="AJ33" s="5">
        <f t="shared" si="27"/>
        <v>574.88875912240815</v>
      </c>
      <c r="AK33" s="5">
        <f t="shared" si="30"/>
        <v>1890876.0162254227</v>
      </c>
      <c r="AL33" s="5"/>
      <c r="AM33">
        <f t="shared" si="11"/>
        <v>2028</v>
      </c>
      <c r="AN33" s="10">
        <f t="shared" si="28"/>
        <v>34.917900000000003</v>
      </c>
      <c r="AP33" s="5">
        <f t="shared" si="12"/>
        <v>60.514606223411377</v>
      </c>
      <c r="AQ33" s="14">
        <f t="shared" si="29"/>
        <v>9.6207641054708066</v>
      </c>
      <c r="AR33" s="14">
        <f t="shared" si="13"/>
        <v>54.152054282342945</v>
      </c>
      <c r="AS33" s="14">
        <f t="shared" si="14"/>
        <v>8.609229615634808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5"/>
        <v>7500</v>
      </c>
      <c r="K34" s="3">
        <f t="shared" si="2"/>
        <v>2860000</v>
      </c>
      <c r="L34" s="3">
        <f t="shared" si="3"/>
        <v>18000</v>
      </c>
      <c r="M34" s="3">
        <f t="shared" si="16"/>
        <v>18000</v>
      </c>
      <c r="N34" s="3">
        <f t="shared" si="17"/>
        <v>36000</v>
      </c>
      <c r="O34" s="3">
        <f t="shared" si="18"/>
        <v>0</v>
      </c>
      <c r="P34" s="3">
        <f t="shared" si="19"/>
        <v>5000</v>
      </c>
      <c r="Q34" s="3">
        <v>212133.48010001139</v>
      </c>
      <c r="R34" s="3">
        <f t="shared" si="20"/>
        <v>-7316</v>
      </c>
      <c r="S34" s="19"/>
      <c r="T34" s="10">
        <f t="shared" si="21"/>
        <v>750</v>
      </c>
      <c r="U34" s="16">
        <v>3316.6550762204715</v>
      </c>
      <c r="V34" s="5">
        <f t="shared" si="22"/>
        <v>1947.711974650548</v>
      </c>
      <c r="W34" s="2">
        <f t="shared" si="23"/>
        <v>74.004282858987835</v>
      </c>
      <c r="X34" s="10">
        <f t="shared" si="31"/>
        <v>5.5379370693130809</v>
      </c>
      <c r="Y34" s="10"/>
      <c r="Z34" s="9">
        <f t="shared" si="5"/>
        <v>12.980000000000002</v>
      </c>
      <c r="AA34">
        <f t="shared" si="6"/>
        <v>6.64</v>
      </c>
      <c r="AB34" s="10">
        <f t="shared" si="7"/>
        <v>5.5379370693130809</v>
      </c>
      <c r="AC34" s="11">
        <f t="shared" si="8"/>
        <v>9.1081081081081088</v>
      </c>
      <c r="AD34" s="11">
        <f t="shared" si="24"/>
        <v>34.266045177421191</v>
      </c>
      <c r="AF34" s="5">
        <f t="shared" si="9"/>
        <v>5000</v>
      </c>
      <c r="AG34" s="5">
        <f t="shared" si="10"/>
        <v>0</v>
      </c>
      <c r="AH34" s="5">
        <f t="shared" si="25"/>
        <v>214449.48010001139</v>
      </c>
      <c r="AI34" s="5">
        <f t="shared" si="26"/>
        <v>219449.48010001139</v>
      </c>
      <c r="AJ34" s="5">
        <f t="shared" si="27"/>
        <v>480.59436141902495</v>
      </c>
      <c r="AK34" s="5">
        <f t="shared" si="30"/>
        <v>2066413.1067337217</v>
      </c>
      <c r="AL34" s="5"/>
      <c r="AM34">
        <f t="shared" si="11"/>
        <v>2029</v>
      </c>
      <c r="AN34" s="10">
        <f t="shared" si="28"/>
        <v>37.657275000000006</v>
      </c>
      <c r="AP34" s="5">
        <f t="shared" si="12"/>
        <v>64.079248189203327</v>
      </c>
      <c r="AQ34" s="14">
        <f t="shared" si="29"/>
        <v>10.187479839301005</v>
      </c>
      <c r="AR34" s="14">
        <f t="shared" si="13"/>
        <v>54.874207088370611</v>
      </c>
      <c r="AS34" s="14">
        <f t="shared" si="14"/>
        <v>8.7240392827298265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5"/>
        <v>8000</v>
      </c>
      <c r="K35" s="3">
        <f t="shared" si="2"/>
        <v>2900000</v>
      </c>
      <c r="L35" s="3">
        <f t="shared" si="3"/>
        <v>17000</v>
      </c>
      <c r="M35" s="3">
        <f t="shared" si="16"/>
        <v>18000</v>
      </c>
      <c r="N35" s="3">
        <f t="shared" si="17"/>
        <v>35000</v>
      </c>
      <c r="O35" s="3">
        <f t="shared" si="18"/>
        <v>0</v>
      </c>
      <c r="P35" s="3">
        <f t="shared" si="19"/>
        <v>4000</v>
      </c>
      <c r="Q35" s="3">
        <v>208671.25163639733</v>
      </c>
      <c r="R35" s="3">
        <f t="shared" si="20"/>
        <v>-7316.0000000000291</v>
      </c>
      <c r="S35" s="19"/>
      <c r="T35" s="10">
        <f t="shared" si="21"/>
        <v>708.33333333333337</v>
      </c>
      <c r="U35" s="16">
        <v>3214.1196729831181</v>
      </c>
      <c r="V35" s="5">
        <f t="shared" si="22"/>
        <v>1882.3611843371705</v>
      </c>
      <c r="W35" s="2">
        <f t="shared" si="23"/>
        <v>75.103488072919887</v>
      </c>
      <c r="X35" s="10">
        <f t="shared" si="31"/>
        <v>4.980803446149527</v>
      </c>
      <c r="Y35" s="10"/>
      <c r="Z35" s="9">
        <f t="shared" si="5"/>
        <v>12.980000000000002</v>
      </c>
      <c r="AA35">
        <f t="shared" si="6"/>
        <v>6.8</v>
      </c>
      <c r="AB35" s="10">
        <f t="shared" si="7"/>
        <v>4.980803446149527</v>
      </c>
      <c r="AC35" s="11">
        <f t="shared" si="8"/>
        <v>9.1081081081081088</v>
      </c>
      <c r="AD35" s="11">
        <f t="shared" si="24"/>
        <v>33.868911554257636</v>
      </c>
      <c r="AF35" s="5">
        <f t="shared" si="9"/>
        <v>4000</v>
      </c>
      <c r="AG35" s="5">
        <f t="shared" si="10"/>
        <v>0</v>
      </c>
      <c r="AH35" s="5">
        <f t="shared" si="25"/>
        <v>211987.25163639736</v>
      </c>
      <c r="AI35" s="5">
        <f t="shared" si="26"/>
        <v>215987.25163639736</v>
      </c>
      <c r="AJ35" s="5">
        <f t="shared" si="27"/>
        <v>473.0120810837102</v>
      </c>
      <c r="AK35" s="5">
        <f t="shared" si="30"/>
        <v>2239180.7693495466</v>
      </c>
      <c r="AL35" s="5"/>
      <c r="AM35">
        <f t="shared" si="11"/>
        <v>2030</v>
      </c>
      <c r="AN35" s="10">
        <f t="shared" si="28"/>
        <v>40.579275000000003</v>
      </c>
      <c r="AP35" s="5">
        <f t="shared" si="12"/>
        <v>59.126510135463775</v>
      </c>
      <c r="AQ35" s="14">
        <f t="shared" si="29"/>
        <v>9.4000811026174524</v>
      </c>
      <c r="AR35" s="14">
        <f t="shared" si="13"/>
        <v>55.180403527405225</v>
      </c>
      <c r="AS35" s="14">
        <f t="shared" si="14"/>
        <v>8.7727191617496381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5"/>
        <v>7000</v>
      </c>
      <c r="K36" s="3">
        <f t="shared" si="2"/>
        <v>2930000</v>
      </c>
      <c r="L36" s="3">
        <f t="shared" si="3"/>
        <v>15000</v>
      </c>
      <c r="M36" s="3">
        <f t="shared" si="16"/>
        <v>18000</v>
      </c>
      <c r="N36" s="3">
        <f t="shared" si="17"/>
        <v>33000</v>
      </c>
      <c r="O36" s="3">
        <f t="shared" si="18"/>
        <v>337515.71729570412</v>
      </c>
      <c r="P36" s="3">
        <f t="shared" si="19"/>
        <v>6000</v>
      </c>
      <c r="Q36" s="3">
        <v>256484.28270429588</v>
      </c>
      <c r="R36" s="3">
        <f t="shared" si="20"/>
        <v>-7316.0000000000582</v>
      </c>
      <c r="S36" s="19"/>
      <c r="T36" s="10">
        <f t="shared" si="21"/>
        <v>625</v>
      </c>
      <c r="U36" s="16">
        <v>3086.0958611163078</v>
      </c>
      <c r="V36" s="5">
        <f t="shared" si="22"/>
        <v>1881.5011250592379</v>
      </c>
      <c r="W36" s="2">
        <f t="shared" si="23"/>
        <v>78.262863536031233</v>
      </c>
      <c r="X36" s="10">
        <f t="shared" si="31"/>
        <v>4.2154858764557481</v>
      </c>
      <c r="Y36" s="10"/>
      <c r="Z36" s="9">
        <f t="shared" si="5"/>
        <v>12.980000000000002</v>
      </c>
      <c r="AA36">
        <f t="shared" si="6"/>
        <v>6.89</v>
      </c>
      <c r="AB36" s="10">
        <f t="shared" si="7"/>
        <v>4.2154858764557481</v>
      </c>
      <c r="AC36" s="11">
        <f t="shared" si="8"/>
        <v>9.1081081081081088</v>
      </c>
      <c r="AD36" s="11">
        <f t="shared" si="24"/>
        <v>33.193593984563861</v>
      </c>
      <c r="AF36" s="5">
        <f t="shared" si="9"/>
        <v>6000</v>
      </c>
      <c r="AG36" s="5">
        <f t="shared" si="10"/>
        <v>50000</v>
      </c>
      <c r="AH36" s="5">
        <f t="shared" si="25"/>
        <v>207800.28270429594</v>
      </c>
      <c r="AI36" s="5">
        <f t="shared" si="26"/>
        <v>263800.28270429594</v>
      </c>
      <c r="AJ36" s="5">
        <f t="shared" si="27"/>
        <v>577.7226191224081</v>
      </c>
      <c r="AK36" s="5">
        <f t="shared" si="30"/>
        <v>2450193.9559840062</v>
      </c>
      <c r="AL36" s="5"/>
      <c r="AM36">
        <f t="shared" si="11"/>
        <v>2031</v>
      </c>
      <c r="AN36" s="10">
        <f t="shared" si="28"/>
        <v>43.136025000000004</v>
      </c>
      <c r="AP36" s="5">
        <f t="shared" si="12"/>
        <v>82.531802731772586</v>
      </c>
      <c r="AQ36" s="14">
        <f t="shared" si="29"/>
        <v>13.121113311887534</v>
      </c>
      <c r="AR36" s="14">
        <f t="shared" si="13"/>
        <v>56.801570288036643</v>
      </c>
      <c r="AS36" s="14">
        <f t="shared" si="14"/>
        <v>9.0304563256020103</v>
      </c>
    </row>
    <row r="38" spans="1:45">
      <c r="N38" s="3"/>
      <c r="Z38" s="11">
        <f>AVERAGE(Z25:Z36)</f>
        <v>12.979999999999999</v>
      </c>
      <c r="AA38" s="11">
        <f t="shared" ref="AA38:AD38" si="32">AVERAGE(AA25:AA36)</f>
        <v>5.9924999999999997</v>
      </c>
      <c r="AB38" s="11">
        <f t="shared" si="32"/>
        <v>4.9158288427015835</v>
      </c>
      <c r="AC38" s="11">
        <f t="shared" si="32"/>
        <v>9.1081081081081106</v>
      </c>
      <c r="AD38" s="11">
        <f t="shared" si="32"/>
        <v>32.996436950809688</v>
      </c>
      <c r="AF38" s="2">
        <f t="shared" ref="AF38:AI38" si="33">AVERAGE(AF25:AF36)</f>
        <v>7016.666666666667</v>
      </c>
      <c r="AG38" s="2">
        <f t="shared" si="33"/>
        <v>41666.666666666664</v>
      </c>
      <c r="AH38" s="2">
        <f t="shared" si="33"/>
        <v>206577.90909502012</v>
      </c>
      <c r="AI38" s="2">
        <f t="shared" si="33"/>
        <v>255261.24242835349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6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4FD1F-3EB3-4ACA-8C92-100612E767A8}">
  <sheetPr codeName="Sheet9">
    <tabColor rgb="FFFF0000"/>
  </sheetPr>
  <dimension ref="A1:AZ50"/>
  <sheetViews>
    <sheetView topLeftCell="L13" zoomScaleNormal="100" workbookViewId="0">
      <selection activeCell="N16" sqref="N1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-14632.000000000029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f t="shared" ref="Z25:Z36" si="5">11.8*1.2</f>
        <v>14.16</v>
      </c>
      <c r="AA25">
        <f t="shared" ref="AA25:AA36" si="6">LinearInterpolation(K25,$A$5:$A$19,$B$5:$B$19)</f>
        <v>4.8899999999999997</v>
      </c>
      <c r="AB25" s="10">
        <f t="shared" ref="AB25:AB36" si="7">X25</f>
        <v>4.5903504012688341</v>
      </c>
      <c r="AC25" s="11">
        <f t="shared" ref="AC25:AC36" si="8">LinearInterpolation(M25,$P$5:$P$11,$Q$5:$Q$11)</f>
        <v>9.1081081081081088</v>
      </c>
      <c r="AD25" s="11">
        <f>SUM(Z25:AC25)</f>
        <v>32.748458509376945</v>
      </c>
      <c r="AF25" s="5">
        <f t="shared" ref="AF25:AF36" si="9">P25</f>
        <v>7000</v>
      </c>
      <c r="AG25" s="5">
        <f t="shared" ref="AG25:AG36" si="10">LinearInterpolation(O25,$D$5:$D$9,$E$5:$E$9)</f>
        <v>50000</v>
      </c>
      <c r="AH25" s="5">
        <f>LinearInterpolation(AD25,$H$5:$H$10,$I$5:$I$10)</f>
        <v>205040.44275813707</v>
      </c>
      <c r="AI25" s="5">
        <f>SUM(AF25:AH25)</f>
        <v>262040.44275813707</v>
      </c>
      <c r="AJ25" s="5">
        <f>$AG$18*AI25/1000</f>
        <v>573.86856964032017</v>
      </c>
      <c r="AK25" s="5">
        <f>AJ25*365.25</f>
        <v>209605.49506112695</v>
      </c>
      <c r="AL25" s="5"/>
      <c r="AM25">
        <f t="shared" ref="AM25:AM36" si="11">YEAR(A25)</f>
        <v>2020</v>
      </c>
      <c r="AN25" s="10">
        <f>J25*0.00036525</f>
        <v>4.5656249999999998</v>
      </c>
      <c r="AP25" s="5">
        <f t="shared" ref="AP25:AP36" si="12">AJ25*1000/J25</f>
        <v>45.909485571225609</v>
      </c>
      <c r="AQ25" s="14">
        <f>AP25/6.29</f>
        <v>7.2988053372377752</v>
      </c>
      <c r="AR25" s="14">
        <f t="shared" ref="AR25:AR36" si="13">AK25/AN25/1000</f>
        <v>45.909485571225616</v>
      </c>
      <c r="AS25" s="14">
        <f t="shared" ref="AS25:AS36" si="14">AR25/6.29</f>
        <v>7.298805337237777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5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6">MIN($M$19,E26-$M$17)</f>
        <v>18000</v>
      </c>
      <c r="N26" s="3">
        <f t="shared" ref="N26:N36" si="17">L26+M26</f>
        <v>33000</v>
      </c>
      <c r="O26" s="3">
        <f t="shared" ref="O26:O36" si="18">MAX(C26-F26-P26-Q26,0)</f>
        <v>1146771.7172957039</v>
      </c>
      <c r="P26" s="3">
        <f t="shared" ref="P26:P36" si="19">C26*$P$22</f>
        <v>7200</v>
      </c>
      <c r="Q26" s="3">
        <v>246028.28270429594</v>
      </c>
      <c r="R26" s="3">
        <f t="shared" ref="R26:R36" si="20">Q26-AI26</f>
        <v>-14631.999999999971</v>
      </c>
      <c r="S26" s="19"/>
      <c r="T26" s="10">
        <f t="shared" ref="T26:T36" si="21">L26/24</f>
        <v>625</v>
      </c>
      <c r="U26" s="16">
        <v>3086.0958611163078</v>
      </c>
      <c r="V26" s="5">
        <f t="shared" ref="V26:V36" si="22">LinearInterpolation(T26/U26,$AE$6:$AE$11,$AF$6:$AF$11)*U26*U26</f>
        <v>1881.5011250592379</v>
      </c>
      <c r="W26" s="2">
        <f t="shared" ref="W26:W36" si="23">LinearInterpolation(T26/U26,$AE$6:$AE$11,$AC$6:$AC$11)</f>
        <v>78.262863536031233</v>
      </c>
      <c r="X26" s="10">
        <f t="shared" si="4"/>
        <v>4.2154858764557481</v>
      </c>
      <c r="Z26" s="9">
        <f t="shared" si="5"/>
        <v>14.16</v>
      </c>
      <c r="AA26">
        <f t="shared" si="6"/>
        <v>5.01</v>
      </c>
      <c r="AB26" s="10">
        <f t="shared" si="7"/>
        <v>4.2154858764557481</v>
      </c>
      <c r="AC26" s="11">
        <f t="shared" si="8"/>
        <v>9.1081081081081088</v>
      </c>
      <c r="AD26" s="11">
        <f t="shared" ref="AD26:AD36" si="24">SUM(Z26:AC26)</f>
        <v>32.493593984563859</v>
      </c>
      <c r="AF26" s="5">
        <f t="shared" si="9"/>
        <v>7200</v>
      </c>
      <c r="AG26" s="5">
        <f t="shared" si="10"/>
        <v>50000</v>
      </c>
      <c r="AH26" s="5">
        <f t="shared" ref="AH26:AH36" si="25">LinearInterpolation(AD26,$H$5:$H$10,$I$5:$I$10)</f>
        <v>203460.28270429591</v>
      </c>
      <c r="AI26" s="5">
        <f t="shared" ref="AI26:AI36" si="26">SUM(AF26:AH26)</f>
        <v>260660.28270429591</v>
      </c>
      <c r="AJ26" s="5">
        <f t="shared" ref="AJ26:AJ36" si="27">$AG$18*AI26/1000</f>
        <v>570.84601912240805</v>
      </c>
      <c r="AK26" s="5">
        <f>AJ26*365.25+AK25</f>
        <v>418107.00354558649</v>
      </c>
      <c r="AL26" s="5"/>
      <c r="AM26">
        <f t="shared" si="11"/>
        <v>2021</v>
      </c>
      <c r="AN26" s="10">
        <f t="shared" ref="AN26:AN36" si="28">J26*0.00036525+AN25</f>
        <v>8.8025249999999993</v>
      </c>
      <c r="AP26" s="5">
        <f t="shared" si="12"/>
        <v>49.210863717448966</v>
      </c>
      <c r="AQ26" s="14">
        <f t="shared" ref="AQ26:AQ36" si="29">AP26/6.29</f>
        <v>7.8236667277343344</v>
      </c>
      <c r="AR26" s="14">
        <f t="shared" si="13"/>
        <v>47.498530654055116</v>
      </c>
      <c r="AS26" s="14">
        <f t="shared" si="14"/>
        <v>7.5514357160659964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5"/>
        <v>10700</v>
      </c>
      <c r="K27" s="3">
        <f t="shared" si="2"/>
        <v>2410000</v>
      </c>
      <c r="L27" s="3">
        <f t="shared" si="3"/>
        <v>12000</v>
      </c>
      <c r="M27" s="3">
        <f t="shared" si="16"/>
        <v>18000</v>
      </c>
      <c r="N27" s="3">
        <f t="shared" si="17"/>
        <v>30000</v>
      </c>
      <c r="O27" s="3">
        <f t="shared" si="18"/>
        <v>1250913.2750208832</v>
      </c>
      <c r="P27" s="3">
        <f t="shared" si="19"/>
        <v>7400</v>
      </c>
      <c r="Q27" s="3">
        <v>241686.72497911679</v>
      </c>
      <c r="R27" s="3">
        <f t="shared" si="20"/>
        <v>-14632</v>
      </c>
      <c r="S27" s="19"/>
      <c r="T27" s="10">
        <f t="shared" si="21"/>
        <v>500</v>
      </c>
      <c r="U27" s="16">
        <v>2955.1311952574533</v>
      </c>
      <c r="V27" s="5">
        <f t="shared" si="22"/>
        <v>1881.8565993359873</v>
      </c>
      <c r="W27" s="2">
        <f t="shared" si="23"/>
        <v>78.496729511784963</v>
      </c>
      <c r="X27" s="10">
        <f>V27*T27/60/60*$S$14*10/(W27/100)/1000000*IF(V27&lt;$S$18,NA(),1)</f>
        <v>3.3629765659429873</v>
      </c>
      <c r="Y27" s="10"/>
      <c r="Z27" s="9">
        <f t="shared" si="5"/>
        <v>14.16</v>
      </c>
      <c r="AA27">
        <f t="shared" si="6"/>
        <v>5.13</v>
      </c>
      <c r="AB27" s="10">
        <f t="shared" si="7"/>
        <v>3.3629765659429873</v>
      </c>
      <c r="AC27" s="11">
        <f t="shared" si="8"/>
        <v>9.1081081081081088</v>
      </c>
      <c r="AD27" s="11">
        <f t="shared" si="24"/>
        <v>31.761084674051094</v>
      </c>
      <c r="AF27" s="5">
        <f t="shared" si="9"/>
        <v>7400</v>
      </c>
      <c r="AG27" s="5">
        <f t="shared" si="10"/>
        <v>50000</v>
      </c>
      <c r="AH27" s="5">
        <f t="shared" si="25"/>
        <v>198918.72497911679</v>
      </c>
      <c r="AI27" s="5">
        <f t="shared" si="26"/>
        <v>256318.72497911679</v>
      </c>
      <c r="AJ27" s="5">
        <f t="shared" si="27"/>
        <v>561.33800770426581</v>
      </c>
      <c r="AK27" s="5">
        <f t="shared" ref="AK27:AK36" si="30">AJ27*365.25+AK26</f>
        <v>623135.7108595696</v>
      </c>
      <c r="AL27" s="5"/>
      <c r="AM27">
        <f t="shared" si="11"/>
        <v>2022</v>
      </c>
      <c r="AN27" s="10">
        <f t="shared" si="28"/>
        <v>12.710699999999999</v>
      </c>
      <c r="AP27" s="5">
        <f t="shared" si="12"/>
        <v>52.461496047127639</v>
      </c>
      <c r="AQ27" s="14">
        <f t="shared" si="29"/>
        <v>8.3404604208470019</v>
      </c>
      <c r="AR27" s="14">
        <f t="shared" si="13"/>
        <v>49.024499898476847</v>
      </c>
      <c r="AS27" s="14">
        <f t="shared" si="14"/>
        <v>7.7940381396624554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5"/>
        <v>9800</v>
      </c>
      <c r="K28" s="3">
        <f t="shared" si="2"/>
        <v>2540000</v>
      </c>
      <c r="L28" s="3">
        <f t="shared" si="3"/>
        <v>15000</v>
      </c>
      <c r="M28" s="3">
        <f t="shared" si="16"/>
        <v>18000</v>
      </c>
      <c r="N28" s="3">
        <f t="shared" si="17"/>
        <v>33000</v>
      </c>
      <c r="O28" s="3">
        <f t="shared" si="18"/>
        <v>1242561.7172957042</v>
      </c>
      <c r="P28" s="3">
        <f t="shared" si="19"/>
        <v>7600</v>
      </c>
      <c r="Q28" s="3">
        <v>249838.28270429591</v>
      </c>
      <c r="R28" s="3">
        <f t="shared" si="20"/>
        <v>-14631.999999999971</v>
      </c>
      <c r="S28" s="19"/>
      <c r="T28" s="10">
        <f t="shared" si="21"/>
        <v>625</v>
      </c>
      <c r="U28" s="16">
        <v>3086.0958611163078</v>
      </c>
      <c r="V28" s="5">
        <f t="shared" si="22"/>
        <v>1881.5011250592379</v>
      </c>
      <c r="W28" s="2">
        <f t="shared" si="23"/>
        <v>78.262863536031233</v>
      </c>
      <c r="X28" s="10">
        <f t="shared" ref="X28:X36" si="31">V28*T28/60/60*$S$14*10/(W28/100)/1000000*IF(V28&lt;$S$18,NA(),1)</f>
        <v>4.2154858764557481</v>
      </c>
      <c r="Y28" s="10"/>
      <c r="Z28" s="9">
        <f t="shared" si="5"/>
        <v>14.16</v>
      </c>
      <c r="AA28">
        <f t="shared" si="6"/>
        <v>5.5600000000000005</v>
      </c>
      <c r="AB28" s="10">
        <f t="shared" si="7"/>
        <v>4.2154858764557481</v>
      </c>
      <c r="AC28" s="11">
        <f t="shared" si="8"/>
        <v>9.1081081081081088</v>
      </c>
      <c r="AD28" s="11">
        <f t="shared" si="24"/>
        <v>33.043593984563856</v>
      </c>
      <c r="AF28" s="5">
        <f t="shared" si="9"/>
        <v>7600</v>
      </c>
      <c r="AG28" s="5">
        <f t="shared" si="10"/>
        <v>50000</v>
      </c>
      <c r="AH28" s="5">
        <f t="shared" si="25"/>
        <v>206870.28270429588</v>
      </c>
      <c r="AI28" s="5">
        <f t="shared" si="26"/>
        <v>264470.28270429588</v>
      </c>
      <c r="AJ28" s="5">
        <f t="shared" si="27"/>
        <v>579.1899191224079</v>
      </c>
      <c r="AK28" s="5">
        <f t="shared" si="30"/>
        <v>834684.82881902903</v>
      </c>
      <c r="AL28" s="5"/>
      <c r="AM28">
        <f t="shared" si="11"/>
        <v>2023</v>
      </c>
      <c r="AN28" s="10">
        <f t="shared" si="28"/>
        <v>16.290150000000001</v>
      </c>
      <c r="AP28" s="5">
        <f t="shared" si="12"/>
        <v>59.101012155347746</v>
      </c>
      <c r="AQ28" s="14">
        <f t="shared" si="29"/>
        <v>9.3960273696896266</v>
      </c>
      <c r="AR28" s="14">
        <f t="shared" si="13"/>
        <v>51.238621425771342</v>
      </c>
      <c r="AS28" s="14">
        <f t="shared" si="14"/>
        <v>8.1460447417760484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5"/>
        <v>9900</v>
      </c>
      <c r="K29" s="3">
        <f t="shared" si="2"/>
        <v>2580000</v>
      </c>
      <c r="L29" s="3">
        <f t="shared" si="3"/>
        <v>17000</v>
      </c>
      <c r="M29" s="3">
        <f t="shared" si="16"/>
        <v>18000</v>
      </c>
      <c r="N29" s="3">
        <f t="shared" si="17"/>
        <v>35000</v>
      </c>
      <c r="O29" s="3">
        <f t="shared" si="18"/>
        <v>1336424.7483636027</v>
      </c>
      <c r="P29" s="3">
        <f t="shared" si="19"/>
        <v>7800</v>
      </c>
      <c r="Q29" s="3">
        <v>255775.25163639733</v>
      </c>
      <c r="R29" s="3">
        <f t="shared" si="20"/>
        <v>-14632</v>
      </c>
      <c r="S29" s="19"/>
      <c r="T29" s="10">
        <f t="shared" si="21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3"/>
        <v>75.103488072919887</v>
      </c>
      <c r="X29" s="10">
        <f t="shared" si="31"/>
        <v>4.980803446149527</v>
      </c>
      <c r="Y29" s="10"/>
      <c r="Z29" s="9">
        <f t="shared" si="5"/>
        <v>14.16</v>
      </c>
      <c r="AA29">
        <f t="shared" si="6"/>
        <v>5.72</v>
      </c>
      <c r="AB29" s="10">
        <f t="shared" si="7"/>
        <v>4.980803446149527</v>
      </c>
      <c r="AC29" s="11">
        <f t="shared" si="8"/>
        <v>9.1081081081081088</v>
      </c>
      <c r="AD29" s="11">
        <f t="shared" si="24"/>
        <v>33.96891155425763</v>
      </c>
      <c r="AF29" s="5">
        <f t="shared" si="9"/>
        <v>7800</v>
      </c>
      <c r="AG29" s="5">
        <f t="shared" si="10"/>
        <v>50000</v>
      </c>
      <c r="AH29" s="5">
        <f t="shared" si="25"/>
        <v>212607.25163639733</v>
      </c>
      <c r="AI29" s="5">
        <f t="shared" si="26"/>
        <v>270407.25163639733</v>
      </c>
      <c r="AJ29" s="5">
        <f t="shared" si="27"/>
        <v>592.19188108371009</v>
      </c>
      <c r="AK29" s="5">
        <f t="shared" si="30"/>
        <v>1050982.9133848541</v>
      </c>
      <c r="AL29" s="5"/>
      <c r="AM29">
        <f t="shared" si="11"/>
        <v>2024</v>
      </c>
      <c r="AN29" s="10">
        <f t="shared" si="28"/>
        <v>19.906124999999999</v>
      </c>
      <c r="AP29" s="5">
        <f t="shared" si="12"/>
        <v>59.817361725627286</v>
      </c>
      <c r="AQ29" s="14">
        <f t="shared" si="29"/>
        <v>9.5099144237881212</v>
      </c>
      <c r="AR29" s="14">
        <f t="shared" si="13"/>
        <v>52.796961406846087</v>
      </c>
      <c r="AS29" s="14">
        <f t="shared" si="14"/>
        <v>8.3937935463984239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5"/>
        <v>10000</v>
      </c>
      <c r="K30" s="3">
        <f t="shared" si="2"/>
        <v>2710000</v>
      </c>
      <c r="L30" s="3">
        <f t="shared" si="3"/>
        <v>18000</v>
      </c>
      <c r="M30" s="3">
        <f t="shared" si="16"/>
        <v>18000</v>
      </c>
      <c r="N30" s="3">
        <f t="shared" si="17"/>
        <v>36000</v>
      </c>
      <c r="O30" s="3">
        <f t="shared" si="18"/>
        <v>1330028.5198999885</v>
      </c>
      <c r="P30" s="3">
        <f t="shared" si="19"/>
        <v>8000</v>
      </c>
      <c r="Q30" s="3">
        <v>261971.48010001139</v>
      </c>
      <c r="R30" s="3">
        <f t="shared" si="20"/>
        <v>-14632</v>
      </c>
      <c r="S30" s="19"/>
      <c r="T30" s="10">
        <f t="shared" si="21"/>
        <v>750</v>
      </c>
      <c r="U30" s="16">
        <v>3316.6550762204715</v>
      </c>
      <c r="V30" s="5">
        <f t="shared" si="22"/>
        <v>1947.711974650548</v>
      </c>
      <c r="W30" s="2">
        <f t="shared" si="23"/>
        <v>74.004282858987835</v>
      </c>
      <c r="X30" s="10">
        <f t="shared" si="31"/>
        <v>5.5379370693130809</v>
      </c>
      <c r="Y30" s="10"/>
      <c r="Z30" s="9">
        <f t="shared" si="5"/>
        <v>14.16</v>
      </c>
      <c r="AA30">
        <f t="shared" si="6"/>
        <v>6.13</v>
      </c>
      <c r="AB30" s="10">
        <f t="shared" si="7"/>
        <v>5.5379370693130809</v>
      </c>
      <c r="AC30" s="11">
        <f t="shared" si="8"/>
        <v>9.1081081081081088</v>
      </c>
      <c r="AD30" s="11">
        <f t="shared" si="24"/>
        <v>34.936045177421192</v>
      </c>
      <c r="AF30" s="5">
        <f t="shared" si="9"/>
        <v>8000</v>
      </c>
      <c r="AG30" s="5">
        <f t="shared" si="10"/>
        <v>50000</v>
      </c>
      <c r="AH30" s="5">
        <f t="shared" si="25"/>
        <v>218603.48010001139</v>
      </c>
      <c r="AI30" s="5">
        <f t="shared" si="26"/>
        <v>276603.48010001139</v>
      </c>
      <c r="AJ30" s="5">
        <f t="shared" si="27"/>
        <v>605.76162141902489</v>
      </c>
      <c r="AK30" s="5">
        <f t="shared" si="30"/>
        <v>1272237.3456081529</v>
      </c>
      <c r="AL30" s="5"/>
      <c r="AM30">
        <f t="shared" si="11"/>
        <v>2024</v>
      </c>
      <c r="AN30" s="10">
        <f t="shared" si="28"/>
        <v>23.558624999999999</v>
      </c>
      <c r="AP30" s="5">
        <f t="shared" si="12"/>
        <v>60.576162141902486</v>
      </c>
      <c r="AQ30" s="14">
        <f t="shared" si="29"/>
        <v>9.6305504200162932</v>
      </c>
      <c r="AR30" s="14">
        <f t="shared" si="13"/>
        <v>54.00303904018817</v>
      </c>
      <c r="AS30" s="14">
        <f t="shared" si="14"/>
        <v>8.5855387981221263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5"/>
        <v>11100</v>
      </c>
      <c r="K31" s="3">
        <f t="shared" si="2"/>
        <v>2750000</v>
      </c>
      <c r="L31" s="3">
        <f t="shared" si="3"/>
        <v>18000</v>
      </c>
      <c r="M31" s="3">
        <f t="shared" si="16"/>
        <v>18000</v>
      </c>
      <c r="N31" s="3">
        <f t="shared" si="17"/>
        <v>36000</v>
      </c>
      <c r="O31" s="3">
        <f t="shared" si="18"/>
        <v>1428884.5198999885</v>
      </c>
      <c r="P31" s="3">
        <f t="shared" si="19"/>
        <v>8200</v>
      </c>
      <c r="Q31" s="3">
        <v>262915.48010001139</v>
      </c>
      <c r="R31" s="3">
        <f t="shared" si="20"/>
        <v>-14631.999999999942</v>
      </c>
      <c r="S31" s="19"/>
      <c r="T31" s="10">
        <f t="shared" si="21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3"/>
        <v>74.004282858987835</v>
      </c>
      <c r="X31" s="10">
        <f t="shared" si="31"/>
        <v>5.5379370693130809</v>
      </c>
      <c r="Y31" s="10"/>
      <c r="Z31" s="9">
        <f t="shared" si="5"/>
        <v>14.16</v>
      </c>
      <c r="AA31">
        <f t="shared" si="6"/>
        <v>6.25</v>
      </c>
      <c r="AB31" s="10">
        <f t="shared" si="7"/>
        <v>5.5379370693130809</v>
      </c>
      <c r="AC31" s="11">
        <f t="shared" si="8"/>
        <v>9.1081081081081088</v>
      </c>
      <c r="AD31" s="11">
        <f t="shared" si="24"/>
        <v>35.05604517742119</v>
      </c>
      <c r="AF31" s="5">
        <f t="shared" si="9"/>
        <v>8200</v>
      </c>
      <c r="AG31" s="5">
        <f t="shared" si="10"/>
        <v>50000</v>
      </c>
      <c r="AH31" s="5">
        <f t="shared" si="25"/>
        <v>219347.48010001137</v>
      </c>
      <c r="AI31" s="5">
        <f t="shared" si="26"/>
        <v>277547.48010001134</v>
      </c>
      <c r="AJ31" s="5">
        <f t="shared" si="27"/>
        <v>607.82898141902479</v>
      </c>
      <c r="AK31" s="5">
        <f t="shared" si="30"/>
        <v>1494246.8810714518</v>
      </c>
      <c r="AL31" s="5"/>
      <c r="AM31">
        <f t="shared" si="11"/>
        <v>2026</v>
      </c>
      <c r="AN31" s="10">
        <f t="shared" si="28"/>
        <v>27.6129</v>
      </c>
      <c r="AP31" s="5">
        <f t="shared" si="12"/>
        <v>54.759367695407633</v>
      </c>
      <c r="AQ31" s="14">
        <f t="shared" si="29"/>
        <v>8.7057818275687815</v>
      </c>
      <c r="AR31" s="14">
        <f t="shared" si="13"/>
        <v>54.114087295121188</v>
      </c>
      <c r="AS31" s="14">
        <f t="shared" si="14"/>
        <v>8.603193528636119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5"/>
        <v>10500</v>
      </c>
      <c r="K32" s="3">
        <f t="shared" si="2"/>
        <v>2790000</v>
      </c>
      <c r="L32" s="3">
        <f t="shared" si="3"/>
        <v>20000</v>
      </c>
      <c r="M32" s="3">
        <f t="shared" si="16"/>
        <v>18000</v>
      </c>
      <c r="N32" s="3">
        <f t="shared" si="17"/>
        <v>38000</v>
      </c>
      <c r="O32" s="3">
        <f t="shared" si="18"/>
        <v>1813760.3329870254</v>
      </c>
      <c r="P32" s="3">
        <f t="shared" si="19"/>
        <v>9000</v>
      </c>
      <c r="Q32" s="3">
        <v>277239.66701297474</v>
      </c>
      <c r="R32" s="3">
        <f t="shared" si="20"/>
        <v>-14632</v>
      </c>
      <c r="S32" s="19"/>
      <c r="T32" s="10">
        <f t="shared" si="21"/>
        <v>833.33333333333337</v>
      </c>
      <c r="U32" s="16">
        <v>3685.6717811091703</v>
      </c>
      <c r="V32" s="5">
        <f t="shared" si="22"/>
        <v>2405.6075059987475</v>
      </c>
      <c r="W32" s="2">
        <f t="shared" si="23"/>
        <v>74.010141431302316</v>
      </c>
      <c r="X32" s="10">
        <f t="shared" si="31"/>
        <v>7.5992575391458876</v>
      </c>
      <c r="Y32" s="10"/>
      <c r="Z32" s="9">
        <f t="shared" si="5"/>
        <v>14.16</v>
      </c>
      <c r="AA32">
        <f t="shared" si="6"/>
        <v>6.37</v>
      </c>
      <c r="AB32" s="10">
        <f t="shared" si="7"/>
        <v>7.5992575391458876</v>
      </c>
      <c r="AC32" s="11">
        <f t="shared" si="8"/>
        <v>9.1081081081081088</v>
      </c>
      <c r="AD32" s="11">
        <f t="shared" si="24"/>
        <v>37.237365647253995</v>
      </c>
      <c r="AF32" s="5">
        <f t="shared" si="9"/>
        <v>9000</v>
      </c>
      <c r="AG32" s="5">
        <f t="shared" si="10"/>
        <v>50000</v>
      </c>
      <c r="AH32" s="5">
        <f t="shared" si="25"/>
        <v>232871.66701297477</v>
      </c>
      <c r="AI32" s="5">
        <f t="shared" si="26"/>
        <v>291871.66701297474</v>
      </c>
      <c r="AJ32" s="5">
        <f t="shared" si="27"/>
        <v>639.19895075841464</v>
      </c>
      <c r="AK32" s="5">
        <f t="shared" si="30"/>
        <v>1727714.2978359628</v>
      </c>
      <c r="AL32" s="5"/>
      <c r="AM32">
        <f t="shared" si="11"/>
        <v>2027</v>
      </c>
      <c r="AN32" s="10">
        <f t="shared" si="28"/>
        <v>31.448025000000001</v>
      </c>
      <c r="AP32" s="5">
        <f t="shared" si="12"/>
        <v>60.87609054842045</v>
      </c>
      <c r="AQ32" s="14">
        <f t="shared" si="29"/>
        <v>9.6782337914817891</v>
      </c>
      <c r="AR32" s="14">
        <f t="shared" si="13"/>
        <v>54.938721838206462</v>
      </c>
      <c r="AS32" s="14">
        <f t="shared" si="14"/>
        <v>8.7342959997148579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5"/>
        <v>9500</v>
      </c>
      <c r="K33" s="3">
        <f t="shared" si="2"/>
        <v>2830000</v>
      </c>
      <c r="L33" s="3">
        <f t="shared" si="3"/>
        <v>15000</v>
      </c>
      <c r="M33" s="3">
        <f t="shared" si="16"/>
        <v>18000</v>
      </c>
      <c r="N33" s="3">
        <f t="shared" si="17"/>
        <v>33000</v>
      </c>
      <c r="O33" s="3">
        <f t="shared" si="18"/>
        <v>837809.71729570406</v>
      </c>
      <c r="P33" s="3">
        <f t="shared" si="19"/>
        <v>7000</v>
      </c>
      <c r="Q33" s="3">
        <v>255190.28270429594</v>
      </c>
      <c r="R33" s="3">
        <f t="shared" si="20"/>
        <v>-14632</v>
      </c>
      <c r="S33" s="19"/>
      <c r="T33" s="10">
        <f t="shared" si="21"/>
        <v>625</v>
      </c>
      <c r="U33" s="16">
        <v>3086.0958611163078</v>
      </c>
      <c r="V33" s="5">
        <f t="shared" si="22"/>
        <v>1881.5011250592379</v>
      </c>
      <c r="W33" s="2">
        <f t="shared" si="23"/>
        <v>78.262863536031233</v>
      </c>
      <c r="X33" s="10">
        <f t="shared" si="31"/>
        <v>4.2154858764557481</v>
      </c>
      <c r="Y33" s="10"/>
      <c r="Z33" s="9">
        <f t="shared" si="5"/>
        <v>14.16</v>
      </c>
      <c r="AA33">
        <f t="shared" si="6"/>
        <v>6.5200000000000005</v>
      </c>
      <c r="AB33" s="10">
        <f t="shared" si="7"/>
        <v>4.2154858764557481</v>
      </c>
      <c r="AC33" s="11">
        <f t="shared" si="8"/>
        <v>9.1081081081081088</v>
      </c>
      <c r="AD33" s="11">
        <f t="shared" si="24"/>
        <v>34.003593984563857</v>
      </c>
      <c r="AF33" s="5">
        <f t="shared" si="9"/>
        <v>7000</v>
      </c>
      <c r="AG33" s="5">
        <f t="shared" si="10"/>
        <v>50000</v>
      </c>
      <c r="AH33" s="5">
        <f t="shared" si="25"/>
        <v>212822.28270429591</v>
      </c>
      <c r="AI33" s="5">
        <f t="shared" si="26"/>
        <v>269822.28270429594</v>
      </c>
      <c r="AJ33" s="5">
        <f t="shared" si="27"/>
        <v>590.91079912240809</v>
      </c>
      <c r="AK33" s="5">
        <f t="shared" si="30"/>
        <v>1943544.4672154223</v>
      </c>
      <c r="AL33" s="5"/>
      <c r="AM33">
        <f t="shared" si="11"/>
        <v>2028</v>
      </c>
      <c r="AN33" s="10">
        <f t="shared" si="28"/>
        <v>34.917900000000003</v>
      </c>
      <c r="AP33" s="5">
        <f t="shared" si="12"/>
        <v>62.201136749727176</v>
      </c>
      <c r="AQ33" s="14">
        <f t="shared" si="29"/>
        <v>9.8888929649804727</v>
      </c>
      <c r="AR33" s="14">
        <f t="shared" si="13"/>
        <v>55.660405328368036</v>
      </c>
      <c r="AS33" s="14">
        <f t="shared" si="14"/>
        <v>8.8490310537946009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5"/>
        <v>7500</v>
      </c>
      <c r="K34" s="3">
        <f t="shared" si="2"/>
        <v>2860000</v>
      </c>
      <c r="L34" s="3">
        <f t="shared" si="3"/>
        <v>18000</v>
      </c>
      <c r="M34" s="3">
        <f t="shared" si="16"/>
        <v>18000</v>
      </c>
      <c r="N34" s="3">
        <f t="shared" si="17"/>
        <v>36000</v>
      </c>
      <c r="O34" s="3">
        <f t="shared" si="18"/>
        <v>0</v>
      </c>
      <c r="P34" s="3">
        <f t="shared" si="19"/>
        <v>5000</v>
      </c>
      <c r="Q34" s="3">
        <v>212133.48010001139</v>
      </c>
      <c r="R34" s="3">
        <f t="shared" si="20"/>
        <v>-14632</v>
      </c>
      <c r="S34" s="19"/>
      <c r="T34" s="10">
        <f t="shared" si="21"/>
        <v>750</v>
      </c>
      <c r="U34" s="16">
        <v>3316.6550762204715</v>
      </c>
      <c r="V34" s="5">
        <f t="shared" si="22"/>
        <v>1947.711974650548</v>
      </c>
      <c r="W34" s="2">
        <f t="shared" si="23"/>
        <v>74.004282858987835</v>
      </c>
      <c r="X34" s="10">
        <f t="shared" si="31"/>
        <v>5.5379370693130809</v>
      </c>
      <c r="Y34" s="10"/>
      <c r="Z34" s="9">
        <f t="shared" si="5"/>
        <v>14.16</v>
      </c>
      <c r="AA34">
        <f t="shared" si="6"/>
        <v>6.64</v>
      </c>
      <c r="AB34" s="10">
        <f t="shared" si="7"/>
        <v>5.5379370693130809</v>
      </c>
      <c r="AC34" s="11">
        <f t="shared" si="8"/>
        <v>9.1081081081081088</v>
      </c>
      <c r="AD34" s="11">
        <f t="shared" si="24"/>
        <v>35.44604517742119</v>
      </c>
      <c r="AF34" s="5">
        <f t="shared" si="9"/>
        <v>5000</v>
      </c>
      <c r="AG34" s="5">
        <f t="shared" si="10"/>
        <v>0</v>
      </c>
      <c r="AH34" s="5">
        <f t="shared" si="25"/>
        <v>221765.48010001139</v>
      </c>
      <c r="AI34" s="5">
        <f t="shared" si="26"/>
        <v>226765.48010001139</v>
      </c>
      <c r="AJ34" s="5">
        <f t="shared" si="27"/>
        <v>496.6164014190249</v>
      </c>
      <c r="AK34" s="5">
        <f t="shared" si="30"/>
        <v>2124933.6078337212</v>
      </c>
      <c r="AL34" s="5"/>
      <c r="AM34">
        <f t="shared" si="11"/>
        <v>2029</v>
      </c>
      <c r="AN34" s="10">
        <f t="shared" si="28"/>
        <v>37.657275000000006</v>
      </c>
      <c r="AP34" s="5">
        <f t="shared" si="12"/>
        <v>66.215520189203318</v>
      </c>
      <c r="AQ34" s="14">
        <f t="shared" si="29"/>
        <v>10.527109728013246</v>
      </c>
      <c r="AR34" s="14">
        <f t="shared" si="13"/>
        <v>56.428236186333741</v>
      </c>
      <c r="AS34" s="14">
        <f t="shared" si="14"/>
        <v>8.9711027323265089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5"/>
        <v>8000</v>
      </c>
      <c r="K35" s="3">
        <f t="shared" si="2"/>
        <v>2900000</v>
      </c>
      <c r="L35" s="3">
        <f t="shared" si="3"/>
        <v>17000</v>
      </c>
      <c r="M35" s="3">
        <f t="shared" si="16"/>
        <v>18000</v>
      </c>
      <c r="N35" s="3">
        <f t="shared" si="17"/>
        <v>35000</v>
      </c>
      <c r="O35" s="3">
        <f t="shared" si="18"/>
        <v>0</v>
      </c>
      <c r="P35" s="3">
        <f t="shared" si="19"/>
        <v>4000</v>
      </c>
      <c r="Q35" s="3">
        <v>208671.25163639733</v>
      </c>
      <c r="R35" s="3">
        <f t="shared" si="20"/>
        <v>-14632</v>
      </c>
      <c r="S35" s="19"/>
      <c r="T35" s="10">
        <f t="shared" si="21"/>
        <v>708.33333333333337</v>
      </c>
      <c r="U35" s="16">
        <v>3214.1196729831181</v>
      </c>
      <c r="V35" s="5">
        <f t="shared" si="22"/>
        <v>1882.3611843371705</v>
      </c>
      <c r="W35" s="2">
        <f t="shared" si="23"/>
        <v>75.103488072919887</v>
      </c>
      <c r="X35" s="10">
        <f t="shared" si="31"/>
        <v>4.980803446149527</v>
      </c>
      <c r="Y35" s="10"/>
      <c r="Z35" s="9">
        <f t="shared" si="5"/>
        <v>14.16</v>
      </c>
      <c r="AA35">
        <f t="shared" si="6"/>
        <v>6.8</v>
      </c>
      <c r="AB35" s="10">
        <f t="shared" si="7"/>
        <v>4.980803446149527</v>
      </c>
      <c r="AC35" s="11">
        <f t="shared" si="8"/>
        <v>9.1081081081081088</v>
      </c>
      <c r="AD35" s="11">
        <f t="shared" si="24"/>
        <v>35.048911554257636</v>
      </c>
      <c r="AF35" s="5">
        <f t="shared" si="9"/>
        <v>4000</v>
      </c>
      <c r="AG35" s="5">
        <f t="shared" si="10"/>
        <v>0</v>
      </c>
      <c r="AH35" s="5">
        <f t="shared" si="25"/>
        <v>219303.25163639733</v>
      </c>
      <c r="AI35" s="5">
        <f t="shared" si="26"/>
        <v>223303.25163639733</v>
      </c>
      <c r="AJ35" s="5">
        <f t="shared" si="27"/>
        <v>489.03412108371009</v>
      </c>
      <c r="AK35" s="5">
        <f t="shared" si="30"/>
        <v>2303553.3205595464</v>
      </c>
      <c r="AL35" s="5"/>
      <c r="AM35">
        <f t="shared" si="11"/>
        <v>2030</v>
      </c>
      <c r="AN35" s="10">
        <f t="shared" si="28"/>
        <v>40.579275000000003</v>
      </c>
      <c r="AP35" s="5">
        <f t="shared" si="12"/>
        <v>61.129265135463761</v>
      </c>
      <c r="AQ35" s="14">
        <f t="shared" si="29"/>
        <v>9.718484123285176</v>
      </c>
      <c r="AR35" s="14">
        <f t="shared" si="13"/>
        <v>56.766744121464619</v>
      </c>
      <c r="AS35" s="14">
        <f t="shared" si="14"/>
        <v>9.0249195741597159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5"/>
        <v>7000</v>
      </c>
      <c r="K36" s="3">
        <f t="shared" si="2"/>
        <v>2930000</v>
      </c>
      <c r="L36" s="3">
        <f t="shared" si="3"/>
        <v>15000</v>
      </c>
      <c r="M36" s="3">
        <f t="shared" si="16"/>
        <v>18000</v>
      </c>
      <c r="N36" s="3">
        <f t="shared" si="17"/>
        <v>33000</v>
      </c>
      <c r="O36" s="3">
        <f t="shared" si="18"/>
        <v>337515.71729570412</v>
      </c>
      <c r="P36" s="3">
        <f t="shared" si="19"/>
        <v>6000</v>
      </c>
      <c r="Q36" s="3">
        <v>256484.28270429588</v>
      </c>
      <c r="R36" s="3">
        <f t="shared" si="20"/>
        <v>-14632</v>
      </c>
      <c r="S36" s="19"/>
      <c r="T36" s="10">
        <f t="shared" si="21"/>
        <v>625</v>
      </c>
      <c r="U36" s="16">
        <v>3086.0958611163078</v>
      </c>
      <c r="V36" s="5">
        <f t="shared" si="22"/>
        <v>1881.5011250592379</v>
      </c>
      <c r="W36" s="2">
        <f t="shared" si="23"/>
        <v>78.262863536031233</v>
      </c>
      <c r="X36" s="10">
        <f t="shared" si="31"/>
        <v>4.2154858764557481</v>
      </c>
      <c r="Y36" s="10"/>
      <c r="Z36" s="9">
        <f t="shared" si="5"/>
        <v>14.16</v>
      </c>
      <c r="AA36">
        <f t="shared" si="6"/>
        <v>6.89</v>
      </c>
      <c r="AB36" s="10">
        <f t="shared" si="7"/>
        <v>4.2154858764557481</v>
      </c>
      <c r="AC36" s="11">
        <f t="shared" si="8"/>
        <v>9.1081081081081088</v>
      </c>
      <c r="AD36" s="11">
        <f t="shared" si="24"/>
        <v>34.373593984563854</v>
      </c>
      <c r="AF36" s="5">
        <f t="shared" si="9"/>
        <v>6000</v>
      </c>
      <c r="AG36" s="5">
        <f t="shared" si="10"/>
        <v>50000</v>
      </c>
      <c r="AH36" s="5">
        <f t="shared" si="25"/>
        <v>215116.28270429588</v>
      </c>
      <c r="AI36" s="5">
        <f t="shared" si="26"/>
        <v>271116.28270429588</v>
      </c>
      <c r="AJ36" s="5">
        <f t="shared" si="27"/>
        <v>593.74465912240805</v>
      </c>
      <c r="AK36" s="5">
        <f t="shared" si="30"/>
        <v>2520418.5573040061</v>
      </c>
      <c r="AL36" s="5"/>
      <c r="AM36">
        <f t="shared" si="11"/>
        <v>2031</v>
      </c>
      <c r="AN36" s="10">
        <f t="shared" si="28"/>
        <v>43.136025000000004</v>
      </c>
      <c r="AP36" s="5">
        <f t="shared" si="12"/>
        <v>84.820665588915432</v>
      </c>
      <c r="AQ36" s="14">
        <f t="shared" si="29"/>
        <v>13.485002478364933</v>
      </c>
      <c r="AR36" s="14">
        <f t="shared" si="13"/>
        <v>58.429550643667461</v>
      </c>
      <c r="AS36" s="14">
        <f t="shared" si="14"/>
        <v>9.2892767319026177</v>
      </c>
    </row>
    <row r="38" spans="1:45">
      <c r="N38" s="3"/>
      <c r="Z38" s="11">
        <f>AVERAGE(Z25:Z36)</f>
        <v>14.159999999999998</v>
      </c>
      <c r="AA38" s="11">
        <f t="shared" ref="AA38:AD38" si="32">AVERAGE(AA25:AA36)</f>
        <v>5.9924999999999997</v>
      </c>
      <c r="AB38" s="11">
        <f t="shared" si="32"/>
        <v>4.9158288427015835</v>
      </c>
      <c r="AC38" s="11">
        <f t="shared" si="32"/>
        <v>9.1081081081081106</v>
      </c>
      <c r="AD38" s="11">
        <f t="shared" si="32"/>
        <v>34.176436950809695</v>
      </c>
      <c r="AF38" s="2">
        <f t="shared" ref="AF38:AI38" si="33">AVERAGE(AF25:AF36)</f>
        <v>7016.666666666667</v>
      </c>
      <c r="AG38" s="2">
        <f t="shared" si="33"/>
        <v>41666.666666666664</v>
      </c>
      <c r="AH38" s="2">
        <f t="shared" si="33"/>
        <v>213893.90909502006</v>
      </c>
      <c r="AI38" s="2">
        <f t="shared" si="33"/>
        <v>262577.24242835341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5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27929-CC90-4C57-A21B-C867C387D5AC}">
  <sheetPr codeName="Sheet14">
    <tabColor rgb="FFFF0000"/>
  </sheetPr>
  <dimension ref="A1:AZ50"/>
  <sheetViews>
    <sheetView topLeftCell="R13" zoomScaleNormal="100" workbookViewId="0">
      <selection activeCell="AD25" sqref="AD25:AD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  <c r="AC20" t="s">
        <v>108</v>
      </c>
    </row>
    <row r="21" spans="1:45">
      <c r="M21" s="18">
        <f>SUM(M25:M36)/SUM(L25:M36)</f>
        <v>0.52427184466019416</v>
      </c>
      <c r="P21" t="s">
        <v>78</v>
      </c>
      <c r="AC21" s="9">
        <v>15</v>
      </c>
      <c r="AD21" t="s">
        <v>18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87927.304360314651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f>11.8</f>
        <v>11.8</v>
      </c>
      <c r="AA25">
        <f t="shared" ref="AA25:AA36" si="5">LinearInterpolation(K25,$A$5:$A$19,$B$5:$B$19)</f>
        <v>4.8899999999999997</v>
      </c>
      <c r="AB25" s="10">
        <f t="shared" ref="AB25:AB36" si="6">X25</f>
        <v>4.5903504012688341</v>
      </c>
      <c r="AC25" s="11">
        <f t="shared" ref="AC25:AC36" si="7">LinearInterpolation(M25,$P$5:$P$11,$Q$5:$Q$11)</f>
        <v>9.1081081081081088</v>
      </c>
      <c r="AD25" s="11">
        <f>SUM(Z25:AC25)-$AC$21</f>
        <v>15.388458509376942</v>
      </c>
      <c r="AF25" s="5">
        <f t="shared" ref="AF25:AF36" si="8">P25</f>
        <v>7000</v>
      </c>
      <c r="AG25" s="5">
        <f t="shared" ref="AG25:AG36" si="9">LinearInterpolation(O25,$D$5:$D$9,$E$5:$E$9)</f>
        <v>50000</v>
      </c>
      <c r="AH25" s="5">
        <f>LinearInterpolation(AD25,$H$5:$H$10,$I$5:$I$10)</f>
        <v>102481.1383978224</v>
      </c>
      <c r="AI25" s="5">
        <f>SUM(AF25:AH25)</f>
        <v>159481.13839782239</v>
      </c>
      <c r="AJ25" s="5">
        <f>$AG$18*AI25/1000</f>
        <v>349.26369309123106</v>
      </c>
      <c r="AK25" s="5">
        <f>AJ25*365.25</f>
        <v>127568.56390157214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27.941095447298483</v>
      </c>
      <c r="AQ25" s="14">
        <f>AP25/6.29</f>
        <v>4.4421455401110466</v>
      </c>
      <c r="AR25" s="14">
        <f t="shared" ref="AR25:AR36" si="12">AK25/AN25/1000</f>
        <v>27.941095447298483</v>
      </c>
      <c r="AS25" s="14">
        <f t="shared" ref="AS25:AS36" si="13">AR25/6.29</f>
        <v>4.4421455401110466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1146771.7172957039</v>
      </c>
      <c r="P26" s="3">
        <f t="shared" ref="P26:P36" si="18">C26*$P$22</f>
        <v>7200</v>
      </c>
      <c r="Q26" s="3">
        <v>246028.28270429594</v>
      </c>
      <c r="R26" s="3">
        <f t="shared" ref="R26:R36" si="19">Q26-AI26</f>
        <v>87646.953383020242</v>
      </c>
      <c r="S26" s="19"/>
      <c r="T26" s="10">
        <f t="shared" ref="T26:T36" si="20">L26/24</f>
        <v>625</v>
      </c>
      <c r="U26" s="16">
        <v>3086.0958611163078</v>
      </c>
      <c r="V26" s="5">
        <f t="shared" ref="V26:V36" si="21">LinearInterpolation(T26/U26,$AE$6:$AE$11,$AF$6:$AF$11)*U26*U26</f>
        <v>1881.5011250592379</v>
      </c>
      <c r="W26" s="2">
        <f t="shared" ref="W26:W36" si="22">LinearInterpolation(T26/U26,$AE$6:$AE$11,$AC$6:$AC$11)</f>
        <v>78.262863536031233</v>
      </c>
      <c r="X26" s="10">
        <f t="shared" si="4"/>
        <v>4.2154858764557481</v>
      </c>
      <c r="Z26" s="9">
        <f t="shared" ref="Z26:Z36" si="23">11.8</f>
        <v>11.8</v>
      </c>
      <c r="AA26">
        <f t="shared" si="5"/>
        <v>5.01</v>
      </c>
      <c r="AB26" s="10">
        <f t="shared" si="6"/>
        <v>4.2154858764557481</v>
      </c>
      <c r="AC26" s="11">
        <f t="shared" si="7"/>
        <v>9.1081081081081088</v>
      </c>
      <c r="AD26" s="11">
        <f t="shared" ref="AD26:AD36" si="24">SUM(Z26:AC26)-$AC$21</f>
        <v>15.133593984563859</v>
      </c>
      <c r="AF26" s="5">
        <f t="shared" si="8"/>
        <v>7200</v>
      </c>
      <c r="AG26" s="5">
        <f t="shared" si="9"/>
        <v>50000</v>
      </c>
      <c r="AH26" s="5">
        <f t="shared" ref="AH26:AH36" si="25">LinearInterpolation(AD26,$H$5:$H$10,$I$5:$I$10)</f>
        <v>101181.32932127568</v>
      </c>
      <c r="AI26" s="5">
        <f t="shared" ref="AI26:AI36" si="26">SUM(AF26:AH26)</f>
        <v>158381.3293212757</v>
      </c>
      <c r="AJ26" s="5">
        <f t="shared" ref="AJ26:AJ36" si="27">$AG$18*AI26/1000</f>
        <v>346.85511121359372</v>
      </c>
      <c r="AK26" s="5">
        <f>AJ26*365.25+AK25</f>
        <v>254257.39327233724</v>
      </c>
      <c r="AL26" s="5"/>
      <c r="AM26">
        <f t="shared" si="10"/>
        <v>2021</v>
      </c>
      <c r="AN26" s="10">
        <f t="shared" ref="AN26:AN36" si="28">J26*0.00036525+AN25</f>
        <v>8.8025249999999993</v>
      </c>
      <c r="AP26" s="5">
        <f t="shared" si="11"/>
        <v>29.901302690827048</v>
      </c>
      <c r="AQ26" s="14">
        <f t="shared" ref="AQ26:AQ36" si="29">AP26/6.29</f>
        <v>4.7537842115782274</v>
      </c>
      <c r="AR26" s="14">
        <f t="shared" si="12"/>
        <v>28.88459768899688</v>
      </c>
      <c r="AS26" s="14">
        <f t="shared" si="13"/>
        <v>4.5921458965018891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1250913.2750208832</v>
      </c>
      <c r="P27" s="3">
        <f t="shared" si="18"/>
        <v>7400</v>
      </c>
      <c r="Q27" s="3">
        <v>241686.72497911679</v>
      </c>
      <c r="R27" s="3">
        <f t="shared" si="19"/>
        <v>86841.193141456199</v>
      </c>
      <c r="S27" s="19"/>
      <c r="T27" s="10">
        <f t="shared" si="20"/>
        <v>500</v>
      </c>
      <c r="U27" s="16">
        <v>2955.1311952574533</v>
      </c>
      <c r="V27" s="5">
        <f t="shared" si="21"/>
        <v>1881.8565993359873</v>
      </c>
      <c r="W27" s="2">
        <f t="shared" si="22"/>
        <v>78.496729511784963</v>
      </c>
      <c r="X27" s="10">
        <f>V27*T27/60/60*$S$14*10/(W27/100)/1000000*IF(V27&lt;$S$18,NA(),1)</f>
        <v>3.3629765659429873</v>
      </c>
      <c r="Y27" s="10"/>
      <c r="Z27" s="9">
        <f t="shared" si="23"/>
        <v>11.8</v>
      </c>
      <c r="AA27">
        <f t="shared" si="5"/>
        <v>5.13</v>
      </c>
      <c r="AB27" s="10">
        <f t="shared" si="6"/>
        <v>3.3629765659429873</v>
      </c>
      <c r="AC27" s="11">
        <f t="shared" si="7"/>
        <v>9.1081081081081088</v>
      </c>
      <c r="AD27" s="11">
        <f t="shared" si="24"/>
        <v>14.401084674051095</v>
      </c>
      <c r="AF27" s="5">
        <f t="shared" si="8"/>
        <v>7400</v>
      </c>
      <c r="AG27" s="5">
        <f t="shared" si="9"/>
        <v>50000</v>
      </c>
      <c r="AH27" s="5">
        <f t="shared" si="25"/>
        <v>97445.531837660586</v>
      </c>
      <c r="AI27" s="5">
        <f t="shared" si="26"/>
        <v>154845.53183766059</v>
      </c>
      <c r="AJ27" s="5">
        <f t="shared" si="27"/>
        <v>339.11171472447666</v>
      </c>
      <c r="AK27" s="5">
        <f t="shared" ref="AK27:AK36" si="30">AJ27*365.25+AK26</f>
        <v>378117.94707545231</v>
      </c>
      <c r="AL27" s="5"/>
      <c r="AM27">
        <f t="shared" si="10"/>
        <v>2022</v>
      </c>
      <c r="AN27" s="10">
        <f t="shared" si="28"/>
        <v>12.710699999999999</v>
      </c>
      <c r="AP27" s="5">
        <f t="shared" si="11"/>
        <v>31.692683619109971</v>
      </c>
      <c r="AQ27" s="14">
        <f t="shared" si="29"/>
        <v>5.0385824513688346</v>
      </c>
      <c r="AR27" s="14">
        <f t="shared" si="12"/>
        <v>29.748003420382226</v>
      </c>
      <c r="AS27" s="14">
        <f t="shared" si="13"/>
        <v>4.7294123084868405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1242561.7172957042</v>
      </c>
      <c r="P28" s="3">
        <f t="shared" si="18"/>
        <v>7600</v>
      </c>
      <c r="Q28" s="3">
        <v>249838.28270429591</v>
      </c>
      <c r="R28" s="3">
        <f t="shared" si="19"/>
        <v>88251.953383020242</v>
      </c>
      <c r="S28" s="19"/>
      <c r="T28" s="10">
        <f t="shared" si="20"/>
        <v>625</v>
      </c>
      <c r="U28" s="16">
        <v>3086.0958611163078</v>
      </c>
      <c r="V28" s="5">
        <f t="shared" si="21"/>
        <v>1881.5011250592379</v>
      </c>
      <c r="W28" s="2">
        <f t="shared" si="22"/>
        <v>78.262863536031233</v>
      </c>
      <c r="X28" s="10">
        <f t="shared" ref="X28:X36" si="31">V28*T28/60/60*$S$14*10/(W28/100)/1000000*IF(V28&lt;$S$18,NA(),1)</f>
        <v>4.2154858764557481</v>
      </c>
      <c r="Y28" s="10"/>
      <c r="Z28" s="9">
        <f t="shared" si="23"/>
        <v>11.8</v>
      </c>
      <c r="AA28">
        <f t="shared" si="5"/>
        <v>5.5600000000000005</v>
      </c>
      <c r="AB28" s="10">
        <f t="shared" si="6"/>
        <v>4.2154858764557481</v>
      </c>
      <c r="AC28" s="11">
        <f t="shared" si="7"/>
        <v>9.1081081081081088</v>
      </c>
      <c r="AD28" s="11">
        <f t="shared" si="24"/>
        <v>15.683593984563856</v>
      </c>
      <c r="AF28" s="5">
        <f t="shared" si="8"/>
        <v>7600</v>
      </c>
      <c r="AG28" s="5">
        <f t="shared" si="9"/>
        <v>50000</v>
      </c>
      <c r="AH28" s="5">
        <f t="shared" si="25"/>
        <v>103986.32932127567</v>
      </c>
      <c r="AI28" s="5">
        <f t="shared" si="26"/>
        <v>161586.32932127567</v>
      </c>
      <c r="AJ28" s="5">
        <f t="shared" si="27"/>
        <v>353.87406121359368</v>
      </c>
      <c r="AK28" s="5">
        <f t="shared" si="30"/>
        <v>507370.4479337174</v>
      </c>
      <c r="AL28" s="5"/>
      <c r="AM28">
        <f t="shared" si="10"/>
        <v>2023</v>
      </c>
      <c r="AN28" s="10">
        <f t="shared" si="28"/>
        <v>16.290150000000001</v>
      </c>
      <c r="AP28" s="5">
        <f t="shared" si="11"/>
        <v>36.109598083019762</v>
      </c>
      <c r="AQ28" s="14">
        <f t="shared" si="29"/>
        <v>5.7407946077932852</v>
      </c>
      <c r="AR28" s="14">
        <f t="shared" si="12"/>
        <v>31.145842606342935</v>
      </c>
      <c r="AS28" s="14">
        <f t="shared" si="13"/>
        <v>4.9516442935362379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1336424.7483636027</v>
      </c>
      <c r="P29" s="3">
        <f t="shared" si="18"/>
        <v>7800</v>
      </c>
      <c r="Q29" s="3">
        <v>255775.25163639733</v>
      </c>
      <c r="R29" s="3">
        <f t="shared" si="19"/>
        <v>89269.802709683398</v>
      </c>
      <c r="S29" s="19"/>
      <c r="T29" s="10">
        <f t="shared" si="20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2"/>
        <v>75.103488072919887</v>
      </c>
      <c r="X29" s="10">
        <f t="shared" si="31"/>
        <v>4.980803446149527</v>
      </c>
      <c r="Y29" s="10"/>
      <c r="Z29" s="9">
        <f t="shared" si="23"/>
        <v>11.8</v>
      </c>
      <c r="AA29">
        <f t="shared" si="5"/>
        <v>5.72</v>
      </c>
      <c r="AB29" s="10">
        <f t="shared" si="6"/>
        <v>4.980803446149527</v>
      </c>
      <c r="AC29" s="11">
        <f t="shared" si="7"/>
        <v>9.1081081081081088</v>
      </c>
      <c r="AD29" s="11">
        <f t="shared" si="24"/>
        <v>16.608911554257634</v>
      </c>
      <c r="AF29" s="5">
        <f t="shared" si="8"/>
        <v>7800</v>
      </c>
      <c r="AG29" s="5">
        <f t="shared" si="9"/>
        <v>50000</v>
      </c>
      <c r="AH29" s="5">
        <f t="shared" si="25"/>
        <v>108705.44892671393</v>
      </c>
      <c r="AI29" s="5">
        <f t="shared" si="26"/>
        <v>166505.44892671393</v>
      </c>
      <c r="AJ29" s="5">
        <f t="shared" si="27"/>
        <v>364.64693314950347</v>
      </c>
      <c r="AK29" s="5">
        <f t="shared" si="30"/>
        <v>640557.7402665735</v>
      </c>
      <c r="AL29" s="5"/>
      <c r="AM29">
        <f t="shared" si="10"/>
        <v>2024</v>
      </c>
      <c r="AN29" s="10">
        <f t="shared" si="28"/>
        <v>19.906124999999999</v>
      </c>
      <c r="AP29" s="5">
        <f t="shared" si="11"/>
        <v>36.833023550454897</v>
      </c>
      <c r="AQ29" s="14">
        <f t="shared" si="29"/>
        <v>5.8558066057956912</v>
      </c>
      <c r="AR29" s="14">
        <f t="shared" si="12"/>
        <v>32.178926851236668</v>
      </c>
      <c r="AS29" s="14">
        <f t="shared" si="13"/>
        <v>5.1158866218182304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1330028.5198999885</v>
      </c>
      <c r="P30" s="3">
        <f t="shared" si="18"/>
        <v>8000</v>
      </c>
      <c r="Q30" s="3">
        <v>261971.48010001139</v>
      </c>
      <c r="R30" s="3">
        <f t="shared" si="19"/>
        <v>90333.649695163302</v>
      </c>
      <c r="S30" s="19"/>
      <c r="T30" s="10">
        <f t="shared" si="20"/>
        <v>750</v>
      </c>
      <c r="U30" s="16">
        <v>3316.6550762204715</v>
      </c>
      <c r="V30" s="5">
        <f t="shared" si="21"/>
        <v>1947.711974650548</v>
      </c>
      <c r="W30" s="2">
        <f t="shared" si="22"/>
        <v>74.004282858987835</v>
      </c>
      <c r="X30" s="10">
        <f t="shared" si="31"/>
        <v>5.5379370693130809</v>
      </c>
      <c r="Y30" s="10"/>
      <c r="Z30" s="9">
        <f t="shared" si="23"/>
        <v>11.8</v>
      </c>
      <c r="AA30">
        <f t="shared" si="5"/>
        <v>6.13</v>
      </c>
      <c r="AB30" s="10">
        <f t="shared" si="6"/>
        <v>5.5379370693130809</v>
      </c>
      <c r="AC30" s="11">
        <f t="shared" si="7"/>
        <v>9.1081081081081088</v>
      </c>
      <c r="AD30" s="11">
        <f t="shared" si="24"/>
        <v>17.576045177421193</v>
      </c>
      <c r="AF30" s="5">
        <f t="shared" si="8"/>
        <v>8000</v>
      </c>
      <c r="AG30" s="5">
        <f t="shared" si="9"/>
        <v>50000</v>
      </c>
      <c r="AH30" s="5">
        <f t="shared" si="25"/>
        <v>113637.83040484809</v>
      </c>
      <c r="AI30" s="5">
        <f t="shared" si="26"/>
        <v>171637.83040484809</v>
      </c>
      <c r="AJ30" s="5">
        <f t="shared" si="27"/>
        <v>375.8868485866173</v>
      </c>
      <c r="AK30" s="5">
        <f t="shared" si="30"/>
        <v>777850.41171283543</v>
      </c>
      <c r="AL30" s="5"/>
      <c r="AM30">
        <f t="shared" si="10"/>
        <v>2024</v>
      </c>
      <c r="AN30" s="10">
        <f t="shared" si="28"/>
        <v>23.558624999999999</v>
      </c>
      <c r="AP30" s="5">
        <f t="shared" si="11"/>
        <v>37.588684858661736</v>
      </c>
      <c r="AQ30" s="14">
        <f t="shared" si="29"/>
        <v>5.9759435387379547</v>
      </c>
      <c r="AR30" s="14">
        <f t="shared" si="12"/>
        <v>33.017649022930478</v>
      </c>
      <c r="AS30" s="14">
        <f t="shared" si="13"/>
        <v>5.2492287794802035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1428884.5198999885</v>
      </c>
      <c r="P31" s="3">
        <f t="shared" si="18"/>
        <v>8200</v>
      </c>
      <c r="Q31" s="3">
        <v>262915.48010001139</v>
      </c>
      <c r="R31" s="3">
        <f t="shared" si="19"/>
        <v>90465.649695163331</v>
      </c>
      <c r="S31" s="19"/>
      <c r="T31" s="10">
        <f t="shared" si="20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2"/>
        <v>74.004282858987835</v>
      </c>
      <c r="X31" s="10">
        <f t="shared" si="31"/>
        <v>5.5379370693130809</v>
      </c>
      <c r="Y31" s="10"/>
      <c r="Z31" s="9">
        <f t="shared" si="23"/>
        <v>11.8</v>
      </c>
      <c r="AA31">
        <f t="shared" si="5"/>
        <v>6.25</v>
      </c>
      <c r="AB31" s="10">
        <f t="shared" si="6"/>
        <v>5.5379370693130809</v>
      </c>
      <c r="AC31" s="11">
        <f t="shared" si="7"/>
        <v>9.1081081081081088</v>
      </c>
      <c r="AD31" s="11">
        <f t="shared" si="24"/>
        <v>17.69604517742119</v>
      </c>
      <c r="AF31" s="5">
        <f t="shared" si="8"/>
        <v>8200</v>
      </c>
      <c r="AG31" s="5">
        <f t="shared" si="9"/>
        <v>50000</v>
      </c>
      <c r="AH31" s="5">
        <f t="shared" si="25"/>
        <v>114249.83040484806</v>
      </c>
      <c r="AI31" s="5">
        <f t="shared" si="26"/>
        <v>172449.83040484806</v>
      </c>
      <c r="AJ31" s="5">
        <f t="shared" si="27"/>
        <v>377.66512858661724</v>
      </c>
      <c r="AK31" s="5">
        <f t="shared" si="30"/>
        <v>915792.59992909734</v>
      </c>
      <c r="AL31" s="5"/>
      <c r="AM31">
        <f t="shared" si="10"/>
        <v>2026</v>
      </c>
      <c r="AN31" s="10">
        <f t="shared" si="28"/>
        <v>27.6129</v>
      </c>
      <c r="AP31" s="5">
        <f t="shared" si="11"/>
        <v>34.023885458253808</v>
      </c>
      <c r="AQ31" s="14">
        <f t="shared" si="29"/>
        <v>5.409202775557044</v>
      </c>
      <c r="AR31" s="14">
        <f t="shared" si="12"/>
        <v>33.16539008684699</v>
      </c>
      <c r="AS31" s="14">
        <f t="shared" si="13"/>
        <v>5.2727170249359281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1813760.3329870254</v>
      </c>
      <c r="P32" s="3">
        <f t="shared" si="18"/>
        <v>9000</v>
      </c>
      <c r="Q32" s="3">
        <v>277239.66701297474</v>
      </c>
      <c r="R32" s="3">
        <f t="shared" si="19"/>
        <v>92865.102211979363</v>
      </c>
      <c r="S32" s="19"/>
      <c r="T32" s="10">
        <f t="shared" si="20"/>
        <v>833.33333333333337</v>
      </c>
      <c r="U32" s="16">
        <v>3685.6717811091703</v>
      </c>
      <c r="V32" s="5">
        <f t="shared" si="21"/>
        <v>2405.6075059987475</v>
      </c>
      <c r="W32" s="2">
        <f t="shared" si="22"/>
        <v>74.010141431302316</v>
      </c>
      <c r="X32" s="10">
        <f t="shared" si="31"/>
        <v>7.5992575391458876</v>
      </c>
      <c r="Y32" s="10"/>
      <c r="Z32" s="9">
        <f t="shared" si="23"/>
        <v>11.8</v>
      </c>
      <c r="AA32">
        <f t="shared" si="5"/>
        <v>6.37</v>
      </c>
      <c r="AB32" s="10">
        <f t="shared" si="6"/>
        <v>7.5992575391458876</v>
      </c>
      <c r="AC32" s="11">
        <f t="shared" si="7"/>
        <v>9.1081081081081088</v>
      </c>
      <c r="AD32" s="11">
        <f t="shared" si="24"/>
        <v>19.877365647253995</v>
      </c>
      <c r="AF32" s="5">
        <f t="shared" si="8"/>
        <v>9000</v>
      </c>
      <c r="AG32" s="5">
        <f t="shared" si="9"/>
        <v>50000</v>
      </c>
      <c r="AH32" s="5">
        <f t="shared" si="25"/>
        <v>125374.56480099537</v>
      </c>
      <c r="AI32" s="5">
        <f t="shared" si="26"/>
        <v>184374.56480099537</v>
      </c>
      <c r="AJ32" s="5">
        <f t="shared" si="27"/>
        <v>403.78029691417987</v>
      </c>
      <c r="AK32" s="5">
        <f t="shared" si="30"/>
        <v>1063273.3533770016</v>
      </c>
      <c r="AL32" s="5"/>
      <c r="AM32">
        <f t="shared" si="10"/>
        <v>2027</v>
      </c>
      <c r="AN32" s="10">
        <f t="shared" si="28"/>
        <v>31.448025000000001</v>
      </c>
      <c r="AP32" s="5">
        <f t="shared" si="11"/>
        <v>38.455266372779036</v>
      </c>
      <c r="AQ32" s="14">
        <f t="shared" si="29"/>
        <v>6.113714844638956</v>
      </c>
      <c r="AR32" s="14">
        <f t="shared" si="12"/>
        <v>33.810496950985048</v>
      </c>
      <c r="AS32" s="14">
        <f t="shared" si="13"/>
        <v>5.3752777346558105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837809.71729570406</v>
      </c>
      <c r="P33" s="3">
        <f t="shared" si="18"/>
        <v>7000</v>
      </c>
      <c r="Q33" s="3">
        <v>255190.28270429594</v>
      </c>
      <c r="R33" s="3">
        <f t="shared" si="19"/>
        <v>89307.953383020271</v>
      </c>
      <c r="S33" s="19"/>
      <c r="T33" s="10">
        <f t="shared" si="20"/>
        <v>625</v>
      </c>
      <c r="U33" s="16">
        <v>3086.0958611163078</v>
      </c>
      <c r="V33" s="5">
        <f t="shared" si="21"/>
        <v>1881.5011250592379</v>
      </c>
      <c r="W33" s="2">
        <f t="shared" si="22"/>
        <v>78.262863536031233</v>
      </c>
      <c r="X33" s="10">
        <f t="shared" si="31"/>
        <v>4.2154858764557481</v>
      </c>
      <c r="Y33" s="10"/>
      <c r="Z33" s="9">
        <f t="shared" si="23"/>
        <v>11.8</v>
      </c>
      <c r="AA33">
        <f t="shared" si="5"/>
        <v>6.5200000000000005</v>
      </c>
      <c r="AB33" s="10">
        <f t="shared" si="6"/>
        <v>4.2154858764557481</v>
      </c>
      <c r="AC33" s="11">
        <f t="shared" si="7"/>
        <v>9.1081081081081088</v>
      </c>
      <c r="AD33" s="11">
        <f t="shared" si="24"/>
        <v>16.643593984563857</v>
      </c>
      <c r="AF33" s="5">
        <f t="shared" si="8"/>
        <v>7000</v>
      </c>
      <c r="AG33" s="5">
        <f t="shared" si="9"/>
        <v>50000</v>
      </c>
      <c r="AH33" s="5">
        <f t="shared" si="25"/>
        <v>108882.32932127567</v>
      </c>
      <c r="AI33" s="5">
        <f t="shared" si="26"/>
        <v>165882.32932127567</v>
      </c>
      <c r="AJ33" s="5">
        <f t="shared" si="27"/>
        <v>363.28230121359371</v>
      </c>
      <c r="AK33" s="5">
        <f t="shared" si="30"/>
        <v>1195962.2138952666</v>
      </c>
      <c r="AL33" s="5"/>
      <c r="AM33">
        <f t="shared" si="10"/>
        <v>2028</v>
      </c>
      <c r="AN33" s="10">
        <f t="shared" si="28"/>
        <v>34.917900000000003</v>
      </c>
      <c r="AP33" s="5">
        <f t="shared" si="11"/>
        <v>38.240242233009859</v>
      </c>
      <c r="AQ33" s="14">
        <f t="shared" si="29"/>
        <v>6.0795297667742227</v>
      </c>
      <c r="AR33" s="14">
        <f t="shared" si="12"/>
        <v>34.250691304324334</v>
      </c>
      <c r="AS33" s="14">
        <f t="shared" si="13"/>
        <v>5.4452609386843136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5000</v>
      </c>
      <c r="Q34" s="3">
        <v>212133.48010001139</v>
      </c>
      <c r="R34" s="3">
        <f t="shared" si="19"/>
        <v>90894.649695163331</v>
      </c>
      <c r="S34" s="19"/>
      <c r="T34" s="10">
        <f t="shared" si="20"/>
        <v>750</v>
      </c>
      <c r="U34" s="16">
        <v>3316.6550762204715</v>
      </c>
      <c r="V34" s="5">
        <f t="shared" si="21"/>
        <v>1947.711974650548</v>
      </c>
      <c r="W34" s="2">
        <f t="shared" si="22"/>
        <v>74.004282858987835</v>
      </c>
      <c r="X34" s="10">
        <f t="shared" si="31"/>
        <v>5.5379370693130809</v>
      </c>
      <c r="Y34" s="10"/>
      <c r="Z34" s="9">
        <f t="shared" si="23"/>
        <v>11.8</v>
      </c>
      <c r="AA34">
        <f t="shared" si="5"/>
        <v>6.64</v>
      </c>
      <c r="AB34" s="10">
        <f t="shared" si="6"/>
        <v>5.5379370693130809</v>
      </c>
      <c r="AC34" s="11">
        <f t="shared" si="7"/>
        <v>9.1081081081081088</v>
      </c>
      <c r="AD34" s="11">
        <f t="shared" si="24"/>
        <v>18.086045177421191</v>
      </c>
      <c r="AF34" s="5">
        <f t="shared" si="8"/>
        <v>5000</v>
      </c>
      <c r="AG34" s="5">
        <f t="shared" si="9"/>
        <v>0</v>
      </c>
      <c r="AH34" s="5">
        <f t="shared" si="25"/>
        <v>116238.83040484806</v>
      </c>
      <c r="AI34" s="5">
        <f t="shared" si="26"/>
        <v>121238.83040484806</v>
      </c>
      <c r="AJ34" s="5">
        <f t="shared" si="27"/>
        <v>265.51303858661726</v>
      </c>
      <c r="AK34" s="5">
        <f t="shared" si="30"/>
        <v>1292940.8512390286</v>
      </c>
      <c r="AL34" s="5"/>
      <c r="AM34">
        <f t="shared" si="10"/>
        <v>2029</v>
      </c>
      <c r="AN34" s="10">
        <f t="shared" si="28"/>
        <v>37.657275000000006</v>
      </c>
      <c r="AP34" s="5">
        <f t="shared" si="11"/>
        <v>35.401738478215634</v>
      </c>
      <c r="AQ34" s="14">
        <f t="shared" si="29"/>
        <v>5.6282573097322155</v>
      </c>
      <c r="AR34" s="14">
        <f t="shared" si="12"/>
        <v>34.33442412492748</v>
      </c>
      <c r="AS34" s="14">
        <f t="shared" si="13"/>
        <v>5.4585729928342577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4000</v>
      </c>
      <c r="Q35" s="3">
        <v>208671.25163639733</v>
      </c>
      <c r="R35" s="3">
        <f t="shared" si="19"/>
        <v>90457.802709683383</v>
      </c>
      <c r="S35" s="19"/>
      <c r="T35" s="10">
        <f t="shared" si="20"/>
        <v>708.33333333333337</v>
      </c>
      <c r="U35" s="16">
        <v>3214.1196729831181</v>
      </c>
      <c r="V35" s="5">
        <f t="shared" si="21"/>
        <v>1882.3611843371705</v>
      </c>
      <c r="W35" s="2">
        <f t="shared" si="22"/>
        <v>75.103488072919887</v>
      </c>
      <c r="X35" s="10">
        <f t="shared" si="31"/>
        <v>4.980803446149527</v>
      </c>
      <c r="Y35" s="10"/>
      <c r="Z35" s="9">
        <f t="shared" si="23"/>
        <v>11.8</v>
      </c>
      <c r="AA35">
        <f t="shared" si="5"/>
        <v>6.8</v>
      </c>
      <c r="AB35" s="10">
        <f t="shared" si="6"/>
        <v>4.980803446149527</v>
      </c>
      <c r="AC35" s="11">
        <f t="shared" si="7"/>
        <v>9.1081081081081088</v>
      </c>
      <c r="AD35" s="11">
        <f t="shared" si="24"/>
        <v>17.688911554257636</v>
      </c>
      <c r="AF35" s="5">
        <f t="shared" si="8"/>
        <v>4000</v>
      </c>
      <c r="AG35" s="5">
        <f t="shared" si="9"/>
        <v>0</v>
      </c>
      <c r="AH35" s="5">
        <f t="shared" si="25"/>
        <v>114213.44892671394</v>
      </c>
      <c r="AI35" s="5">
        <f t="shared" si="26"/>
        <v>118213.44892671394</v>
      </c>
      <c r="AJ35" s="5">
        <f t="shared" si="27"/>
        <v>258.88745314950353</v>
      </c>
      <c r="AK35" s="5">
        <f t="shared" si="30"/>
        <v>1387499.4935018849</v>
      </c>
      <c r="AL35" s="5"/>
      <c r="AM35">
        <f t="shared" si="10"/>
        <v>2030</v>
      </c>
      <c r="AN35" s="10">
        <f t="shared" si="28"/>
        <v>40.579275000000003</v>
      </c>
      <c r="AP35" s="5">
        <f t="shared" si="11"/>
        <v>32.360931643687941</v>
      </c>
      <c r="AQ35" s="14">
        <f t="shared" si="29"/>
        <v>5.144822200904283</v>
      </c>
      <c r="AR35" s="14">
        <f t="shared" si="12"/>
        <v>34.192318455711316</v>
      </c>
      <c r="AS35" s="14">
        <f t="shared" si="13"/>
        <v>5.4359806765836751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337515.71729570412</v>
      </c>
      <c r="P36" s="3">
        <f t="shared" si="18"/>
        <v>6000</v>
      </c>
      <c r="Q36" s="3">
        <v>256484.28270429588</v>
      </c>
      <c r="R36" s="3">
        <f t="shared" si="19"/>
        <v>89714.953383020213</v>
      </c>
      <c r="S36" s="19"/>
      <c r="T36" s="10">
        <f t="shared" si="20"/>
        <v>625</v>
      </c>
      <c r="U36" s="16">
        <v>3086.0958611163078</v>
      </c>
      <c r="V36" s="5">
        <f t="shared" si="21"/>
        <v>1881.5011250592379</v>
      </c>
      <c r="W36" s="2">
        <f t="shared" si="22"/>
        <v>78.262863536031233</v>
      </c>
      <c r="X36" s="10">
        <f t="shared" si="31"/>
        <v>4.2154858764557481</v>
      </c>
      <c r="Y36" s="10"/>
      <c r="Z36" s="9">
        <f t="shared" si="23"/>
        <v>11.8</v>
      </c>
      <c r="AA36">
        <f t="shared" si="5"/>
        <v>6.89</v>
      </c>
      <c r="AB36" s="10">
        <f t="shared" si="6"/>
        <v>4.2154858764557481</v>
      </c>
      <c r="AC36" s="11">
        <f t="shared" si="7"/>
        <v>9.1081081081081088</v>
      </c>
      <c r="AD36" s="11">
        <f t="shared" si="24"/>
        <v>17.013593984563855</v>
      </c>
      <c r="AF36" s="5">
        <f t="shared" si="8"/>
        <v>6000</v>
      </c>
      <c r="AG36" s="5">
        <f t="shared" si="9"/>
        <v>50000</v>
      </c>
      <c r="AH36" s="5">
        <f t="shared" si="25"/>
        <v>110769.32932127567</v>
      </c>
      <c r="AI36" s="5">
        <f t="shared" si="26"/>
        <v>166769.32932127567</v>
      </c>
      <c r="AJ36" s="5">
        <f t="shared" si="27"/>
        <v>365.22483121359369</v>
      </c>
      <c r="AK36" s="5">
        <f t="shared" si="30"/>
        <v>1520897.86310265</v>
      </c>
      <c r="AL36" s="5"/>
      <c r="AM36">
        <f t="shared" si="10"/>
        <v>2031</v>
      </c>
      <c r="AN36" s="10">
        <f t="shared" si="28"/>
        <v>43.136025000000004</v>
      </c>
      <c r="AP36" s="5">
        <f t="shared" si="11"/>
        <v>52.174975887656245</v>
      </c>
      <c r="AQ36" s="14">
        <f t="shared" si="29"/>
        <v>8.2949087261774626</v>
      </c>
      <c r="AR36" s="14">
        <f t="shared" si="12"/>
        <v>35.258182994437945</v>
      </c>
      <c r="AS36" s="14">
        <f t="shared" si="13"/>
        <v>5.6054344983208182</v>
      </c>
    </row>
    <row r="38" spans="1:45">
      <c r="N38" s="3"/>
      <c r="Z38" s="11">
        <f>AVERAGE(Z25:Z36)</f>
        <v>11.799999999999999</v>
      </c>
      <c r="AA38" s="11">
        <f t="shared" ref="AA38:AD38" si="32">AVERAGE(AA25:AA36)</f>
        <v>5.9924999999999997</v>
      </c>
      <c r="AB38" s="11">
        <f t="shared" si="32"/>
        <v>4.9158288427015835</v>
      </c>
      <c r="AC38" s="11">
        <f t="shared" si="32"/>
        <v>9.1081081081081106</v>
      </c>
      <c r="AD38" s="11">
        <f t="shared" si="32"/>
        <v>16.816436950809692</v>
      </c>
      <c r="AF38" s="2">
        <f t="shared" ref="AF38:AI38" si="33">AVERAGE(AF25:AF36)</f>
        <v>7016.666666666667</v>
      </c>
      <c r="AG38" s="2">
        <f t="shared" si="33"/>
        <v>41666.666666666664</v>
      </c>
      <c r="AH38" s="2">
        <f t="shared" si="33"/>
        <v>109763.82844912943</v>
      </c>
      <c r="AI38" s="2">
        <f t="shared" si="33"/>
        <v>158447.16178246276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4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0E1BD-EC20-406A-9495-9A72A2A303AD}">
  <sheetPr codeName="Sheet10">
    <tabColor rgb="FFFF0000"/>
  </sheetPr>
  <dimension ref="A1:AZ50"/>
  <sheetViews>
    <sheetView topLeftCell="A13" zoomScaleNormal="100" workbookViewId="0">
      <selection activeCell="Q25" sqref="Q25:Q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8" max="8" width="10.21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3229059.3429365489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3359059.3429365489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MAX(C25-F25-P25-Q25,-1E+50)</f>
        <v>-5038.8458651045803</v>
      </c>
      <c r="P25" s="3">
        <f>C25*$P$22</f>
        <v>7000</v>
      </c>
      <c r="Q25" s="3">
        <v>268979.50292855571</v>
      </c>
      <c r="R25" s="3">
        <f>Q25-AI25</f>
        <v>49999.999999999971</v>
      </c>
      <c r="S25" s="19"/>
      <c r="T25" s="10">
        <f>L25/24</f>
        <v>666.66666666666663</v>
      </c>
      <c r="U25" s="16">
        <v>3147.4854002502011</v>
      </c>
      <c r="V25" s="5">
        <f>LinearInterpolation(T25/U25,$AE$6:$AE$11,$AF$6:$AF$11)*U25*U25</f>
        <v>1881.2071889633828</v>
      </c>
      <c r="W25" s="2">
        <f>LinearInterpolation(T25/U25,$AE$6:$AE$11,$AC$6:$AC$11)</f>
        <v>76.742340478521214</v>
      </c>
      <c r="X25" s="10">
        <f t="shared" ref="X25:X26" si="4">V25*T25/60/60*$S$14*10/(W25/100)/1000000*IF(V25&lt;$S$18,NA(),1)</f>
        <v>4.5848929871374278</v>
      </c>
      <c r="Z25" s="9">
        <v>11.8</v>
      </c>
      <c r="AA25">
        <f t="shared" ref="AA25:AA36" si="5">LinearInterpolation(K25,$A$5:$A$19,$B$5:$B$19)</f>
        <v>8.3746606674247488</v>
      </c>
      <c r="AB25" s="10">
        <f t="shared" ref="AB25:AB36" si="6">X25</f>
        <v>4.5848929871374278</v>
      </c>
      <c r="AC25" s="11">
        <f t="shared" ref="AC25:AC36" si="7">LinearInterpolation(M25,$P$5:$P$11,$Q$5:$Q$11)</f>
        <v>9.1081081081081088</v>
      </c>
      <c r="AD25" s="11">
        <f>SUM(Z25:AC25)</f>
        <v>33.867661762670281</v>
      </c>
      <c r="AF25" s="5">
        <f t="shared" ref="AF25:AF36" si="8">P25</f>
        <v>7000</v>
      </c>
      <c r="AG25" s="5">
        <f>IFERROR(LinearInterpolation(O25,$D$5:$D$9,$E$5:$E$9),0)</f>
        <v>0</v>
      </c>
      <c r="AH25" s="5">
        <f>LinearInterpolation(AD25,$H$5:$H$10,$I$5:$I$10)</f>
        <v>211979.50292855574</v>
      </c>
      <c r="AI25" s="5">
        <f>SUM(AF25:AH25)</f>
        <v>218979.50292855574</v>
      </c>
      <c r="AJ25" s="5">
        <f>$AG$18*AI25/1000</f>
        <v>479.56511141353707</v>
      </c>
      <c r="AK25" s="5">
        <f>AJ25*365.25</f>
        <v>175161.15694379443</v>
      </c>
      <c r="AL25" s="5"/>
      <c r="AM25">
        <f t="shared" ref="AM25:AM36" si="9">YEAR(A25)</f>
        <v>2020</v>
      </c>
      <c r="AN25" s="10">
        <f>J25*0.00036525</f>
        <v>4.5656249999999998</v>
      </c>
      <c r="AP25" s="5">
        <f t="shared" ref="AP25:AP36" si="10">AJ25*1000/J25</f>
        <v>38.365208913082967</v>
      </c>
      <c r="AQ25" s="14">
        <f>AP25/6.29</f>
        <v>6.0993972834790089</v>
      </c>
      <c r="AR25" s="14">
        <f t="shared" ref="AR25:AR36" si="11">AK25/AN25/1000</f>
        <v>38.365208913082967</v>
      </c>
      <c r="AS25" s="14">
        <f t="shared" ref="AS25:AS36" si="12">AR25/6.29</f>
        <v>6.0993972834790089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3330075.8638693132</v>
      </c>
      <c r="G26" s="8">
        <v>170000</v>
      </c>
      <c r="H26" s="3"/>
      <c r="I26" s="5"/>
      <c r="J26" s="5">
        <f t="shared" ref="J26:J36" si="13">B26+C26/1000</f>
        <v>11600</v>
      </c>
      <c r="K26" s="3">
        <f t="shared" si="2"/>
        <v>3500075.8638693132</v>
      </c>
      <c r="L26" s="3">
        <f t="shared" si="3"/>
        <v>15000</v>
      </c>
      <c r="M26" s="3">
        <f t="shared" ref="M26:M36" si="14">MIN($M$19,E26-$M$17)</f>
        <v>18000</v>
      </c>
      <c r="N26" s="3">
        <f t="shared" ref="N26:N36" si="15">L26+M26</f>
        <v>33000</v>
      </c>
      <c r="O26" s="3">
        <f t="shared" ref="O26:O36" si="16">MAX(C26-F26-P26-Q26,-1E+50)</f>
        <v>-7264.887217846408</v>
      </c>
      <c r="P26" s="3">
        <f t="shared" ref="P26:P36" si="17">C26*$P$22</f>
        <v>7200</v>
      </c>
      <c r="Q26" s="3">
        <v>269989.02334853326</v>
      </c>
      <c r="R26" s="3">
        <f t="shared" ref="R26:R36" si="18">Q26-AI26</f>
        <v>50000</v>
      </c>
      <c r="S26" s="19"/>
      <c r="T26" s="10">
        <f t="shared" ref="T26:T36" si="19">L26/24</f>
        <v>625</v>
      </c>
      <c r="U26" s="16">
        <v>3085.9039421082334</v>
      </c>
      <c r="V26" s="5">
        <f t="shared" ref="V26:V36" si="20">LinearInterpolation(T26/U26,$AE$6:$AE$11,$AF$6:$AF$11)*U26*U26</f>
        <v>1881.1889006759243</v>
      </c>
      <c r="W26" s="2">
        <f t="shared" ref="W26:W36" si="21">LinearInterpolation(T26/U26,$AE$6:$AE$11,$AC$6:$AC$11)</f>
        <v>78.261641610479998</v>
      </c>
      <c r="X26" s="10">
        <f t="shared" si="4"/>
        <v>4.2148521474998999</v>
      </c>
      <c r="Z26" s="9">
        <v>11.8</v>
      </c>
      <c r="AA26">
        <f t="shared" si="5"/>
        <v>8.8752693167360608</v>
      </c>
      <c r="AB26" s="10">
        <f t="shared" si="6"/>
        <v>4.2148521474998999</v>
      </c>
      <c r="AC26" s="11">
        <f t="shared" si="7"/>
        <v>9.1081081081081088</v>
      </c>
      <c r="AD26" s="11">
        <f t="shared" ref="AD26:AD36" si="22">SUM(Z26:AC26)</f>
        <v>33.998229572344073</v>
      </c>
      <c r="AF26" s="5">
        <f t="shared" si="8"/>
        <v>7200</v>
      </c>
      <c r="AG26" s="5">
        <f t="shared" ref="AG26:AG36" si="23">IFERROR(LinearInterpolation(O26,$D$5:$D$9,$E$5:$E$9),0)</f>
        <v>0</v>
      </c>
      <c r="AH26" s="5">
        <f t="shared" ref="AH26:AH36" si="24">LinearInterpolation(AD26,$H$5:$H$10,$I$5:$I$10)</f>
        <v>212789.02334853326</v>
      </c>
      <c r="AI26" s="5">
        <f t="shared" ref="AI26:AI36" si="25">SUM(AF26:AH26)</f>
        <v>219989.02334853326</v>
      </c>
      <c r="AJ26" s="5">
        <f t="shared" ref="AJ26:AJ36" si="26">$AG$18*AI26/1000</f>
        <v>481.77596113328781</v>
      </c>
      <c r="AK26" s="5">
        <f>AJ26*365.25+AK25</f>
        <v>351129.82674772781</v>
      </c>
      <c r="AL26" s="5"/>
      <c r="AM26">
        <f t="shared" si="9"/>
        <v>2021</v>
      </c>
      <c r="AN26" s="10">
        <f t="shared" ref="AN26:AN36" si="27">J26*0.00036525+AN25</f>
        <v>8.8025249999999993</v>
      </c>
      <c r="AP26" s="5">
        <f t="shared" si="10"/>
        <v>41.532410442524814</v>
      </c>
      <c r="AQ26" s="14">
        <f t="shared" ref="AQ26:AQ36" si="28">AP26/6.29</f>
        <v>6.6029269383982214</v>
      </c>
      <c r="AR26" s="14">
        <f t="shared" si="11"/>
        <v>39.889671060034232</v>
      </c>
      <c r="AS26" s="14">
        <f t="shared" si="12"/>
        <v>6.3417601049338996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3434084.9676155914</v>
      </c>
      <c r="G27" s="8">
        <v>210000</v>
      </c>
      <c r="H27" s="3"/>
      <c r="I27" s="5"/>
      <c r="J27" s="5">
        <f t="shared" si="13"/>
        <v>10700</v>
      </c>
      <c r="K27" s="3">
        <f t="shared" si="2"/>
        <v>3644084.9676155914</v>
      </c>
      <c r="L27" s="3">
        <f t="shared" si="3"/>
        <v>12000</v>
      </c>
      <c r="M27" s="3">
        <f t="shared" si="14"/>
        <v>18000</v>
      </c>
      <c r="N27" s="3">
        <f t="shared" si="15"/>
        <v>30000</v>
      </c>
      <c r="O27" s="3">
        <f t="shared" si="16"/>
        <v>-9553.9461276624352</v>
      </c>
      <c r="P27" s="3">
        <f t="shared" si="17"/>
        <v>7400</v>
      </c>
      <c r="Q27" s="3">
        <v>268068.97851207107</v>
      </c>
      <c r="R27" s="3">
        <f t="shared" si="18"/>
        <v>49999.999999999971</v>
      </c>
      <c r="S27" s="19"/>
      <c r="T27" s="10">
        <f t="shared" si="19"/>
        <v>500</v>
      </c>
      <c r="U27" s="16">
        <v>2954.6796534618425</v>
      </c>
      <c r="V27" s="5">
        <f t="shared" si="20"/>
        <v>1881.1898670558762</v>
      </c>
      <c r="W27" s="2">
        <f t="shared" si="21"/>
        <v>78.49925058470626</v>
      </c>
      <c r="X27" s="10">
        <f>V27*T27/60/60*$S$14*10/(W27/100)/1000000*IF(V27&lt;$S$18,NA(),1)</f>
        <v>3.3616771136422052</v>
      </c>
      <c r="Y27" s="10"/>
      <c r="Z27" s="9">
        <v>11.8</v>
      </c>
      <c r="AA27">
        <f t="shared" si="5"/>
        <v>9.3865016350353478</v>
      </c>
      <c r="AB27" s="10">
        <f t="shared" si="6"/>
        <v>3.3616771136422052</v>
      </c>
      <c r="AC27" s="11">
        <f t="shared" si="7"/>
        <v>9.1081081081081088</v>
      </c>
      <c r="AD27" s="11">
        <f t="shared" si="22"/>
        <v>33.656286856785663</v>
      </c>
      <c r="AF27" s="5">
        <f t="shared" si="8"/>
        <v>7400</v>
      </c>
      <c r="AG27" s="5">
        <f t="shared" si="23"/>
        <v>0</v>
      </c>
      <c r="AH27" s="5">
        <f t="shared" si="24"/>
        <v>210668.9785120711</v>
      </c>
      <c r="AI27" s="5">
        <f t="shared" si="25"/>
        <v>218068.9785120711</v>
      </c>
      <c r="AJ27" s="5">
        <f t="shared" si="26"/>
        <v>477.57106294143574</v>
      </c>
      <c r="AK27" s="5">
        <f t="shared" ref="AK27:AK36" si="29">AJ27*365.25+AK26</f>
        <v>525562.65748708718</v>
      </c>
      <c r="AL27" s="5"/>
      <c r="AM27">
        <f t="shared" si="9"/>
        <v>2022</v>
      </c>
      <c r="AN27" s="10">
        <f t="shared" si="27"/>
        <v>12.710699999999999</v>
      </c>
      <c r="AP27" s="5">
        <f t="shared" si="10"/>
        <v>44.632809620694928</v>
      </c>
      <c r="AQ27" s="14">
        <f t="shared" si="28"/>
        <v>7.0958361877098453</v>
      </c>
      <c r="AR27" s="14">
        <f t="shared" si="11"/>
        <v>41.34804987035232</v>
      </c>
      <c r="AS27" s="14">
        <f t="shared" si="12"/>
        <v>6.57361683153455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3527735.1638693134</v>
      </c>
      <c r="G28" s="8">
        <v>240000</v>
      </c>
      <c r="H28" s="3"/>
      <c r="I28" s="5"/>
      <c r="J28" s="5">
        <f t="shared" si="13"/>
        <v>9800</v>
      </c>
      <c r="K28" s="3">
        <f t="shared" si="2"/>
        <v>3767735.1638693134</v>
      </c>
      <c r="L28" s="3">
        <f t="shared" si="3"/>
        <v>15000</v>
      </c>
      <c r="M28" s="3">
        <f t="shared" si="14"/>
        <v>18000</v>
      </c>
      <c r="N28" s="3">
        <f t="shared" si="15"/>
        <v>33000</v>
      </c>
      <c r="O28" s="3">
        <f t="shared" si="16"/>
        <v>-11615.368410846684</v>
      </c>
      <c r="P28" s="3">
        <f t="shared" si="17"/>
        <v>7600</v>
      </c>
      <c r="Q28" s="3">
        <v>276280.20454153325</v>
      </c>
      <c r="R28" s="3">
        <f t="shared" si="18"/>
        <v>50000</v>
      </c>
      <c r="S28" s="19"/>
      <c r="T28" s="10">
        <f t="shared" si="19"/>
        <v>625</v>
      </c>
      <c r="U28" s="16">
        <v>3085.9039421082334</v>
      </c>
      <c r="V28" s="5">
        <f t="shared" si="20"/>
        <v>1881.1889006759243</v>
      </c>
      <c r="W28" s="2">
        <f t="shared" si="21"/>
        <v>78.261641610479998</v>
      </c>
      <c r="X28" s="10">
        <f t="shared" ref="X28:X36" si="30">V28*T28/60/60*$S$14*10/(W28/100)/1000000*IF(V28&lt;$S$18,NA(),1)</f>
        <v>4.2148521474998999</v>
      </c>
      <c r="Y28" s="10"/>
      <c r="Z28" s="9">
        <v>11.8</v>
      </c>
      <c r="AA28">
        <f t="shared" si="5"/>
        <v>9.8254598317360617</v>
      </c>
      <c r="AB28" s="10">
        <f t="shared" si="6"/>
        <v>4.2148521474998999</v>
      </c>
      <c r="AC28" s="11">
        <f t="shared" si="7"/>
        <v>9.1081081081081088</v>
      </c>
      <c r="AD28" s="11">
        <f t="shared" si="22"/>
        <v>34.948420087344076</v>
      </c>
      <c r="AF28" s="5">
        <f t="shared" si="8"/>
        <v>7600</v>
      </c>
      <c r="AG28" s="5">
        <f t="shared" si="23"/>
        <v>0</v>
      </c>
      <c r="AH28" s="5">
        <f t="shared" si="24"/>
        <v>218680.20454153325</v>
      </c>
      <c r="AI28" s="5">
        <f t="shared" si="25"/>
        <v>226280.20454153325</v>
      </c>
      <c r="AJ28" s="5">
        <f t="shared" si="26"/>
        <v>495.55364794595783</v>
      </c>
      <c r="AK28" s="5">
        <f t="shared" si="29"/>
        <v>706563.6273993483</v>
      </c>
      <c r="AL28" s="5"/>
      <c r="AM28">
        <f t="shared" si="9"/>
        <v>2023</v>
      </c>
      <c r="AN28" s="10">
        <f t="shared" si="27"/>
        <v>16.290150000000001</v>
      </c>
      <c r="AP28" s="5">
        <f t="shared" si="10"/>
        <v>50.566698769995696</v>
      </c>
      <c r="AQ28" s="14">
        <f t="shared" si="28"/>
        <v>8.0392207901423998</v>
      </c>
      <c r="AR28" s="14">
        <f t="shared" si="11"/>
        <v>43.373672274309826</v>
      </c>
      <c r="AS28" s="14">
        <f t="shared" si="12"/>
        <v>6.8956553695246141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3621720.4693306498</v>
      </c>
      <c r="G29" s="8">
        <v>280000</v>
      </c>
      <c r="H29" s="3"/>
      <c r="I29" s="5"/>
      <c r="J29" s="5">
        <f t="shared" si="13"/>
        <v>9900</v>
      </c>
      <c r="K29" s="3">
        <f t="shared" si="2"/>
        <v>3901720.4693306498</v>
      </c>
      <c r="L29" s="3">
        <f t="shared" si="3"/>
        <v>17000</v>
      </c>
      <c r="M29" s="3">
        <f t="shared" si="14"/>
        <v>18000</v>
      </c>
      <c r="N29" s="3">
        <f t="shared" si="15"/>
        <v>35000</v>
      </c>
      <c r="O29" s="3">
        <f t="shared" si="16"/>
        <v>-13682.913935849559</v>
      </c>
      <c r="P29" s="3">
        <f t="shared" si="17"/>
        <v>7800</v>
      </c>
      <c r="Q29" s="3">
        <v>284162.44460519974</v>
      </c>
      <c r="R29" s="3">
        <f t="shared" si="18"/>
        <v>50000.000000000029</v>
      </c>
      <c r="S29" s="19"/>
      <c r="T29" s="10">
        <f t="shared" si="19"/>
        <v>708.33333333333337</v>
      </c>
      <c r="U29" s="16">
        <v>3213.4728917920038</v>
      </c>
      <c r="V29" s="5">
        <f>LinearInterpolation(T29/U29,$AE$6:$AE$11,$AF$6:$AF$11)*U29*U29</f>
        <v>1881.1933062261235</v>
      </c>
      <c r="W29" s="2">
        <f t="shared" si="21"/>
        <v>75.095008132178194</v>
      </c>
      <c r="X29" s="10">
        <f t="shared" si="30"/>
        <v>4.978275291122876</v>
      </c>
      <c r="Y29" s="10"/>
      <c r="Z29" s="9">
        <v>11.8</v>
      </c>
      <c r="AA29">
        <f t="shared" si="5"/>
        <v>10.301107666123807</v>
      </c>
      <c r="AB29" s="10">
        <f t="shared" si="6"/>
        <v>4.978275291122876</v>
      </c>
      <c r="AC29" s="11">
        <f t="shared" si="7"/>
        <v>9.1081081081081088</v>
      </c>
      <c r="AD29" s="11">
        <f t="shared" si="22"/>
        <v>36.187491065354791</v>
      </c>
      <c r="AF29" s="5">
        <f t="shared" si="8"/>
        <v>7800</v>
      </c>
      <c r="AG29" s="5">
        <f t="shared" si="23"/>
        <v>0</v>
      </c>
      <c r="AH29" s="5">
        <f t="shared" si="24"/>
        <v>226362.44460519971</v>
      </c>
      <c r="AI29" s="5">
        <f t="shared" si="25"/>
        <v>234162.44460519971</v>
      </c>
      <c r="AJ29" s="5">
        <f t="shared" si="26"/>
        <v>512.81575368538734</v>
      </c>
      <c r="AK29" s="5">
        <f t="shared" si="29"/>
        <v>893869.58143293601</v>
      </c>
      <c r="AL29" s="5"/>
      <c r="AM29">
        <f t="shared" si="9"/>
        <v>2024</v>
      </c>
      <c r="AN29" s="10">
        <f t="shared" si="27"/>
        <v>19.906124999999999</v>
      </c>
      <c r="AP29" s="5">
        <f t="shared" si="10"/>
        <v>51.799571079332054</v>
      </c>
      <c r="AQ29" s="14">
        <f t="shared" si="28"/>
        <v>8.2352259267618528</v>
      </c>
      <c r="AR29" s="14">
        <f t="shared" si="11"/>
        <v>44.904248387515707</v>
      </c>
      <c r="AS29" s="14">
        <f t="shared" si="12"/>
        <v>7.1389902046924814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3717199.8560882527</v>
      </c>
      <c r="G30" s="8">
        <v>310000</v>
      </c>
      <c r="H30" s="3"/>
      <c r="I30" s="5"/>
      <c r="J30" s="5">
        <f t="shared" si="13"/>
        <v>10000</v>
      </c>
      <c r="K30" s="3">
        <f t="shared" si="2"/>
        <v>4027199.8560882527</v>
      </c>
      <c r="L30" s="3">
        <f t="shared" si="3"/>
        <v>18000</v>
      </c>
      <c r="M30" s="3">
        <f t="shared" si="14"/>
        <v>18000</v>
      </c>
      <c r="N30" s="3">
        <f t="shared" si="15"/>
        <v>36000</v>
      </c>
      <c r="O30" s="3">
        <f t="shared" si="16"/>
        <v>-15785.31341251015</v>
      </c>
      <c r="P30" s="3">
        <f t="shared" si="17"/>
        <v>8000</v>
      </c>
      <c r="Q30" s="3">
        <v>290585.45732425741</v>
      </c>
      <c r="R30" s="3">
        <f t="shared" si="18"/>
        <v>50000</v>
      </c>
      <c r="S30" s="19"/>
      <c r="T30" s="10">
        <f t="shared" si="19"/>
        <v>750</v>
      </c>
      <c r="U30" s="16">
        <v>3316.3271072769385</v>
      </c>
      <c r="V30" s="5">
        <f t="shared" si="20"/>
        <v>1947.106437399844</v>
      </c>
      <c r="W30" s="2">
        <f t="shared" si="21"/>
        <v>74.000007518036313</v>
      </c>
      <c r="X30" s="10">
        <f t="shared" si="30"/>
        <v>5.5365351970136638</v>
      </c>
      <c r="Y30" s="10"/>
      <c r="Z30" s="9">
        <v>11.8</v>
      </c>
      <c r="AA30">
        <f t="shared" si="5"/>
        <v>10.746559489113297</v>
      </c>
      <c r="AB30" s="10">
        <f t="shared" si="6"/>
        <v>5.5365351970136638</v>
      </c>
      <c r="AC30" s="11">
        <f t="shared" si="7"/>
        <v>9.1081081081081088</v>
      </c>
      <c r="AD30" s="11">
        <f t="shared" si="22"/>
        <v>37.191202794235068</v>
      </c>
      <c r="AF30" s="5">
        <f t="shared" si="8"/>
        <v>8000</v>
      </c>
      <c r="AG30" s="5">
        <f t="shared" si="23"/>
        <v>0</v>
      </c>
      <c r="AH30" s="5">
        <f t="shared" si="24"/>
        <v>232585.45732425741</v>
      </c>
      <c r="AI30" s="5">
        <f t="shared" si="25"/>
        <v>240585.45732425741</v>
      </c>
      <c r="AJ30" s="5">
        <f t="shared" si="26"/>
        <v>526.88215154012369</v>
      </c>
      <c r="AK30" s="5">
        <f t="shared" si="29"/>
        <v>1086313.2872829661</v>
      </c>
      <c r="AL30" s="5"/>
      <c r="AM30">
        <f t="shared" si="9"/>
        <v>2024</v>
      </c>
      <c r="AN30" s="10">
        <f t="shared" si="27"/>
        <v>23.558624999999999</v>
      </c>
      <c r="AP30" s="5">
        <f t="shared" si="10"/>
        <v>52.688215154012376</v>
      </c>
      <c r="AQ30" s="14">
        <f t="shared" si="28"/>
        <v>8.3765047939606312</v>
      </c>
      <c r="AR30" s="14">
        <f t="shared" si="11"/>
        <v>46.111064940460921</v>
      </c>
      <c r="AS30" s="14">
        <f t="shared" si="12"/>
        <v>7.3308529317107984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3815919.4560882528</v>
      </c>
      <c r="G31" s="8">
        <v>350000</v>
      </c>
      <c r="H31" s="3"/>
      <c r="I31" s="5"/>
      <c r="J31" s="5">
        <f t="shared" si="13"/>
        <v>11100</v>
      </c>
      <c r="K31" s="3">
        <f t="shared" si="2"/>
        <v>4165919.4560882528</v>
      </c>
      <c r="L31" s="3">
        <f t="shared" si="3"/>
        <v>18000</v>
      </c>
      <c r="M31" s="3">
        <f t="shared" si="14"/>
        <v>18000</v>
      </c>
      <c r="N31" s="3">
        <f t="shared" si="15"/>
        <v>36000</v>
      </c>
      <c r="O31" s="3">
        <f t="shared" si="16"/>
        <v>-17958.131808510283</v>
      </c>
      <c r="P31" s="3">
        <f t="shared" si="17"/>
        <v>8200</v>
      </c>
      <c r="Q31" s="3">
        <v>293838.67572025745</v>
      </c>
      <c r="R31" s="3">
        <f t="shared" si="18"/>
        <v>50000.000000000029</v>
      </c>
      <c r="S31" s="19"/>
      <c r="T31" s="10">
        <f t="shared" si="19"/>
        <v>750</v>
      </c>
      <c r="U31" s="16">
        <v>3316.3271072769385</v>
      </c>
      <c r="V31" s="5">
        <f>LinearInterpolation(T31/U31,$AE$6:$AE$11,$AF$6:$AF$11)*U31*U31</f>
        <v>1947.106437399844</v>
      </c>
      <c r="W31" s="2">
        <f t="shared" si="21"/>
        <v>74.000007518036313</v>
      </c>
      <c r="X31" s="10">
        <f t="shared" si="30"/>
        <v>5.5365351970136638</v>
      </c>
      <c r="Y31" s="10"/>
      <c r="Z31" s="9">
        <v>11.8</v>
      </c>
      <c r="AA31">
        <f t="shared" si="5"/>
        <v>11.239014069113297</v>
      </c>
      <c r="AB31" s="10">
        <f t="shared" si="6"/>
        <v>5.5365351970136638</v>
      </c>
      <c r="AC31" s="11">
        <f t="shared" si="7"/>
        <v>9.1081081081081088</v>
      </c>
      <c r="AD31" s="11">
        <f t="shared" si="22"/>
        <v>37.683657374235068</v>
      </c>
      <c r="AF31" s="5">
        <f t="shared" si="8"/>
        <v>8200</v>
      </c>
      <c r="AG31" s="5">
        <f t="shared" si="23"/>
        <v>0</v>
      </c>
      <c r="AH31" s="5">
        <f t="shared" si="24"/>
        <v>235638.67572025742</v>
      </c>
      <c r="AI31" s="5">
        <f t="shared" si="25"/>
        <v>243838.67572025742</v>
      </c>
      <c r="AJ31" s="5">
        <f t="shared" si="26"/>
        <v>534.00669982736372</v>
      </c>
      <c r="AK31" s="5">
        <f t="shared" si="29"/>
        <v>1281359.2343949107</v>
      </c>
      <c r="AL31" s="5"/>
      <c r="AM31">
        <f t="shared" si="9"/>
        <v>2026</v>
      </c>
      <c r="AN31" s="10">
        <f t="shared" si="27"/>
        <v>27.6129</v>
      </c>
      <c r="AP31" s="5">
        <f t="shared" si="10"/>
        <v>48.108711696158892</v>
      </c>
      <c r="AQ31" s="14">
        <f t="shared" si="28"/>
        <v>7.6484438308678682</v>
      </c>
      <c r="AR31" s="14">
        <f t="shared" si="11"/>
        <v>46.404370218083244</v>
      </c>
      <c r="AS31" s="14">
        <f t="shared" si="12"/>
        <v>7.3774833415076699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4200677.3285303507</v>
      </c>
      <c r="G32" s="8">
        <v>390000</v>
      </c>
      <c r="H32" s="3"/>
      <c r="I32" s="5"/>
      <c r="J32" s="5">
        <f t="shared" si="13"/>
        <v>10500</v>
      </c>
      <c r="K32" s="3">
        <f t="shared" si="2"/>
        <v>4590677.3285303507</v>
      </c>
      <c r="L32" s="3">
        <f t="shared" si="3"/>
        <v>20000</v>
      </c>
      <c r="M32" s="3">
        <f t="shared" si="14"/>
        <v>18000</v>
      </c>
      <c r="N32" s="3">
        <f t="shared" si="15"/>
        <v>38000</v>
      </c>
      <c r="O32" s="3">
        <f t="shared" si="16"/>
        <v>-29091.736055543763</v>
      </c>
      <c r="P32" s="3">
        <f t="shared" si="17"/>
        <v>9000</v>
      </c>
      <c r="Q32" s="3">
        <v>319414.40752519306</v>
      </c>
      <c r="R32" s="3">
        <f t="shared" si="18"/>
        <v>50000</v>
      </c>
      <c r="S32" s="19"/>
      <c r="T32" s="10">
        <f t="shared" si="19"/>
        <v>833.33333333333337</v>
      </c>
      <c r="U32" s="16">
        <v>3684.8112686507611</v>
      </c>
      <c r="V32" s="5">
        <f t="shared" si="20"/>
        <v>2403.8420243392247</v>
      </c>
      <c r="W32" s="2">
        <f t="shared" si="21"/>
        <v>74.000047079192697</v>
      </c>
      <c r="X32" s="10">
        <f t="shared" si="30"/>
        <v>7.5947162786323101</v>
      </c>
      <c r="Y32" s="10"/>
      <c r="Z32" s="9">
        <v>11.8</v>
      </c>
      <c r="AA32">
        <f t="shared" si="5"/>
        <v>12.746904516282743</v>
      </c>
      <c r="AB32" s="10">
        <f t="shared" si="6"/>
        <v>7.5947162786323101</v>
      </c>
      <c r="AC32" s="11">
        <f t="shared" si="7"/>
        <v>9.1081081081081088</v>
      </c>
      <c r="AD32" s="11">
        <f t="shared" si="22"/>
        <v>41.249728903023168</v>
      </c>
      <c r="AF32" s="5">
        <f t="shared" si="8"/>
        <v>9000</v>
      </c>
      <c r="AG32" s="5">
        <f t="shared" si="23"/>
        <v>0</v>
      </c>
      <c r="AH32" s="5">
        <f t="shared" si="24"/>
        <v>260414.40752519306</v>
      </c>
      <c r="AI32" s="5">
        <f t="shared" si="25"/>
        <v>269414.40752519306</v>
      </c>
      <c r="AJ32" s="5">
        <f t="shared" si="26"/>
        <v>590.01755248017287</v>
      </c>
      <c r="AK32" s="5">
        <f t="shared" si="29"/>
        <v>1496863.1454382939</v>
      </c>
      <c r="AL32" s="5"/>
      <c r="AM32">
        <f t="shared" si="9"/>
        <v>2027</v>
      </c>
      <c r="AN32" s="10">
        <f t="shared" si="27"/>
        <v>31.448025000000001</v>
      </c>
      <c r="AP32" s="5">
        <f t="shared" si="10"/>
        <v>56.192147855254554</v>
      </c>
      <c r="AQ32" s="14">
        <f t="shared" si="28"/>
        <v>8.9335688164156686</v>
      </c>
      <c r="AR32" s="14">
        <f t="shared" si="11"/>
        <v>47.598001637250476</v>
      </c>
      <c r="AS32" s="14">
        <f t="shared" si="12"/>
        <v>7.5672498628379135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3224753.2638693135</v>
      </c>
      <c r="G33" s="8">
        <v>430000</v>
      </c>
      <c r="H33" s="3"/>
      <c r="I33" s="5"/>
      <c r="J33" s="5">
        <f t="shared" si="13"/>
        <v>9500</v>
      </c>
      <c r="K33" s="3">
        <f t="shared" si="2"/>
        <v>3654753.2638693135</v>
      </c>
      <c r="L33" s="3">
        <f t="shared" si="3"/>
        <v>15000</v>
      </c>
      <c r="M33" s="3">
        <f t="shared" si="14"/>
        <v>18000</v>
      </c>
      <c r="N33" s="3">
        <f t="shared" si="15"/>
        <v>33000</v>
      </c>
      <c r="O33" s="3">
        <f t="shared" si="16"/>
        <v>-4946.7367918467498</v>
      </c>
      <c r="P33" s="3">
        <f t="shared" si="17"/>
        <v>7000</v>
      </c>
      <c r="Q33" s="3">
        <v>273193.47292253323</v>
      </c>
      <c r="R33" s="3">
        <f t="shared" si="18"/>
        <v>50000</v>
      </c>
      <c r="S33" s="19"/>
      <c r="T33" s="10">
        <f t="shared" si="19"/>
        <v>625</v>
      </c>
      <c r="U33" s="16">
        <v>3085.9039421082334</v>
      </c>
      <c r="V33" s="5">
        <f t="shared" si="20"/>
        <v>1881.1889006759243</v>
      </c>
      <c r="W33" s="2">
        <f t="shared" si="21"/>
        <v>78.261641610479998</v>
      </c>
      <c r="X33" s="10">
        <f t="shared" si="30"/>
        <v>4.2148521474998999</v>
      </c>
      <c r="Y33" s="10"/>
      <c r="Z33" s="9">
        <v>11.8</v>
      </c>
      <c r="AA33">
        <f t="shared" si="5"/>
        <v>9.4243740867360621</v>
      </c>
      <c r="AB33" s="10">
        <f t="shared" si="6"/>
        <v>4.2148521474998999</v>
      </c>
      <c r="AC33" s="11">
        <f t="shared" si="7"/>
        <v>9.1081081081081088</v>
      </c>
      <c r="AD33" s="11">
        <f t="shared" si="22"/>
        <v>34.547334342344072</v>
      </c>
      <c r="AF33" s="5">
        <f t="shared" si="8"/>
        <v>7000</v>
      </c>
      <c r="AG33" s="5">
        <f t="shared" si="23"/>
        <v>0</v>
      </c>
      <c r="AH33" s="5">
        <f t="shared" si="24"/>
        <v>216193.47292253323</v>
      </c>
      <c r="AI33" s="5">
        <f t="shared" si="25"/>
        <v>223193.47292253323</v>
      </c>
      <c r="AJ33" s="5">
        <f t="shared" si="26"/>
        <v>488.7937057003478</v>
      </c>
      <c r="AK33" s="5">
        <f t="shared" si="29"/>
        <v>1675395.046445346</v>
      </c>
      <c r="AL33" s="5"/>
      <c r="AM33">
        <f t="shared" si="9"/>
        <v>2028</v>
      </c>
      <c r="AN33" s="10">
        <f t="shared" si="27"/>
        <v>34.917900000000003</v>
      </c>
      <c r="AP33" s="5">
        <f t="shared" si="10"/>
        <v>51.451969021089241</v>
      </c>
      <c r="AQ33" s="14">
        <f t="shared" si="28"/>
        <v>8.1799632783925667</v>
      </c>
      <c r="AR33" s="14">
        <f t="shared" si="11"/>
        <v>47.980979567652859</v>
      </c>
      <c r="AS33" s="14">
        <f t="shared" si="12"/>
        <v>7.62813665622462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2269898.3560882527</v>
      </c>
      <c r="G34" s="8">
        <v>460000</v>
      </c>
      <c r="H34" s="3"/>
      <c r="I34" s="5"/>
      <c r="J34" s="5">
        <f t="shared" si="13"/>
        <v>7500</v>
      </c>
      <c r="K34" s="3">
        <f t="shared" si="2"/>
        <v>2729898.3560882527</v>
      </c>
      <c r="L34" s="3">
        <f t="shared" si="3"/>
        <v>18000</v>
      </c>
      <c r="M34" s="3">
        <f t="shared" si="14"/>
        <v>18000</v>
      </c>
      <c r="N34" s="3">
        <f t="shared" si="15"/>
        <v>36000</v>
      </c>
      <c r="O34" s="3">
        <f t="shared" si="16"/>
        <v>-34231.254003249196</v>
      </c>
      <c r="P34" s="3">
        <f t="shared" si="17"/>
        <v>5000</v>
      </c>
      <c r="Q34" s="3">
        <v>259332.89791499646</v>
      </c>
      <c r="R34" s="3">
        <f t="shared" si="18"/>
        <v>50000</v>
      </c>
      <c r="S34" s="19"/>
      <c r="T34" s="10">
        <f t="shared" si="19"/>
        <v>750</v>
      </c>
      <c r="U34" s="16">
        <v>3316.3271072769385</v>
      </c>
      <c r="V34" s="5">
        <f t="shared" si="20"/>
        <v>1947.106437399844</v>
      </c>
      <c r="W34" s="2">
        <f t="shared" si="21"/>
        <v>74.000007518036313</v>
      </c>
      <c r="X34" s="10">
        <f t="shared" si="30"/>
        <v>5.5365351970136638</v>
      </c>
      <c r="Y34" s="10"/>
      <c r="Z34" s="9">
        <v>11.8</v>
      </c>
      <c r="AA34">
        <f t="shared" si="5"/>
        <v>6.1896950682647578</v>
      </c>
      <c r="AB34" s="10">
        <f t="shared" si="6"/>
        <v>5.5365351970136638</v>
      </c>
      <c r="AC34" s="11">
        <f t="shared" si="7"/>
        <v>9.1081081081081088</v>
      </c>
      <c r="AD34" s="11">
        <f t="shared" si="22"/>
        <v>32.634338373386527</v>
      </c>
      <c r="AF34" s="5">
        <f t="shared" si="8"/>
        <v>5000</v>
      </c>
      <c r="AG34" s="5">
        <f t="shared" si="23"/>
        <v>0</v>
      </c>
      <c r="AH34" s="5">
        <f t="shared" si="24"/>
        <v>204332.89791499646</v>
      </c>
      <c r="AI34" s="5">
        <f t="shared" si="25"/>
        <v>209332.89791499646</v>
      </c>
      <c r="AJ34" s="5">
        <f t="shared" si="26"/>
        <v>458.43904643384224</v>
      </c>
      <c r="AK34" s="5">
        <f t="shared" si="29"/>
        <v>1842839.9081553069</v>
      </c>
      <c r="AL34" s="5"/>
      <c r="AM34">
        <f t="shared" si="9"/>
        <v>2029</v>
      </c>
      <c r="AN34" s="10">
        <f t="shared" si="27"/>
        <v>37.657275000000006</v>
      </c>
      <c r="AP34" s="5">
        <f t="shared" si="10"/>
        <v>61.125206191178961</v>
      </c>
      <c r="AQ34" s="14">
        <f t="shared" si="28"/>
        <v>9.7178388221270211</v>
      </c>
      <c r="AR34" s="14">
        <f t="shared" si="11"/>
        <v>48.937155122225569</v>
      </c>
      <c r="AS34" s="14">
        <f t="shared" si="12"/>
        <v>7.7801518477306146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1774478.2693306501</v>
      </c>
      <c r="G35" s="8">
        <v>500000</v>
      </c>
      <c r="H35" s="3"/>
      <c r="I35" s="5"/>
      <c r="J35" s="5">
        <f t="shared" si="13"/>
        <v>8000</v>
      </c>
      <c r="K35" s="3">
        <f t="shared" si="2"/>
        <v>2274478.2693306501</v>
      </c>
      <c r="L35" s="3">
        <f t="shared" si="3"/>
        <v>17000</v>
      </c>
      <c r="M35" s="3">
        <f t="shared" si="14"/>
        <v>18000</v>
      </c>
      <c r="N35" s="3">
        <f t="shared" si="15"/>
        <v>35000</v>
      </c>
      <c r="O35" s="3">
        <f t="shared" si="16"/>
        <v>-24100.90748528234</v>
      </c>
      <c r="P35" s="3">
        <f t="shared" si="17"/>
        <v>4000</v>
      </c>
      <c r="Q35" s="3">
        <v>245622.63815463224</v>
      </c>
      <c r="R35" s="3">
        <f t="shared" si="18"/>
        <v>50000</v>
      </c>
      <c r="S35" s="19"/>
      <c r="T35" s="10">
        <f t="shared" si="19"/>
        <v>708.33333333333337</v>
      </c>
      <c r="U35" s="16">
        <v>3213.4728917920038</v>
      </c>
      <c r="V35" s="5">
        <f t="shared" si="20"/>
        <v>1881.1933062261235</v>
      </c>
      <c r="W35" s="2">
        <f t="shared" si="21"/>
        <v>75.095008132178194</v>
      </c>
      <c r="X35" s="10">
        <f t="shared" si="30"/>
        <v>4.978275291122876</v>
      </c>
      <c r="Y35" s="10"/>
      <c r="Z35" s="9">
        <v>11.8</v>
      </c>
      <c r="AA35">
        <f t="shared" si="5"/>
        <v>4.6979130773226006</v>
      </c>
      <c r="AB35" s="10">
        <f t="shared" si="6"/>
        <v>4.978275291122876</v>
      </c>
      <c r="AC35" s="11">
        <f t="shared" si="7"/>
        <v>9.1081081081081088</v>
      </c>
      <c r="AD35" s="11">
        <f t="shared" si="22"/>
        <v>30.584296476553586</v>
      </c>
      <c r="AF35" s="5">
        <f t="shared" si="8"/>
        <v>4000</v>
      </c>
      <c r="AG35" s="5">
        <f t="shared" si="23"/>
        <v>0</v>
      </c>
      <c r="AH35" s="5">
        <f t="shared" si="24"/>
        <v>191622.63815463224</v>
      </c>
      <c r="AI35" s="5">
        <f t="shared" si="25"/>
        <v>195622.63815463224</v>
      </c>
      <c r="AJ35" s="5">
        <f t="shared" si="26"/>
        <v>428.41357755864459</v>
      </c>
      <c r="AK35" s="5">
        <f t="shared" si="29"/>
        <v>1999317.967358602</v>
      </c>
      <c r="AL35" s="5"/>
      <c r="AM35">
        <f t="shared" si="9"/>
        <v>2030</v>
      </c>
      <c r="AN35" s="10">
        <f t="shared" si="27"/>
        <v>40.579275000000003</v>
      </c>
      <c r="AP35" s="5">
        <f t="shared" si="10"/>
        <v>53.551697194830574</v>
      </c>
      <c r="AQ35" s="14">
        <f t="shared" si="28"/>
        <v>8.5137833378109011</v>
      </c>
      <c r="AR35" s="14">
        <f t="shared" si="11"/>
        <v>49.269435379478857</v>
      </c>
      <c r="AS35" s="14">
        <f t="shared" si="12"/>
        <v>7.8329785976913922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2774552.2638693135</v>
      </c>
      <c r="G36" s="8">
        <v>530000</v>
      </c>
      <c r="H36" s="3"/>
      <c r="I36" s="5"/>
      <c r="J36" s="5">
        <f t="shared" si="13"/>
        <v>7000</v>
      </c>
      <c r="K36" s="3">
        <f t="shared" si="2"/>
        <v>3304552.2638693135</v>
      </c>
      <c r="L36" s="3">
        <f t="shared" si="3"/>
        <v>15000</v>
      </c>
      <c r="M36" s="3">
        <f t="shared" si="14"/>
        <v>18000</v>
      </c>
      <c r="N36" s="3">
        <f t="shared" si="15"/>
        <v>33000</v>
      </c>
      <c r="O36" s="3">
        <f t="shared" si="16"/>
        <v>-45037.812781846733</v>
      </c>
      <c r="P36" s="3">
        <f t="shared" si="17"/>
        <v>6000</v>
      </c>
      <c r="Q36" s="3">
        <v>264485.54891253321</v>
      </c>
      <c r="R36" s="3">
        <f t="shared" si="18"/>
        <v>49999.999999999971</v>
      </c>
      <c r="S36" s="19"/>
      <c r="T36" s="10">
        <f t="shared" si="19"/>
        <v>625</v>
      </c>
      <c r="U36" s="16">
        <v>3085.9039421082334</v>
      </c>
      <c r="V36" s="5">
        <f t="shared" si="20"/>
        <v>1881.1889006759243</v>
      </c>
      <c r="W36" s="2">
        <f t="shared" si="21"/>
        <v>78.261641610479998</v>
      </c>
      <c r="X36" s="10">
        <f t="shared" si="30"/>
        <v>4.2148521474998999</v>
      </c>
      <c r="Y36" s="10"/>
      <c r="Z36" s="9">
        <v>11.8</v>
      </c>
      <c r="AA36">
        <f t="shared" si="5"/>
        <v>8.181160536736062</v>
      </c>
      <c r="AB36" s="10">
        <f t="shared" si="6"/>
        <v>4.2148521474998999</v>
      </c>
      <c r="AC36" s="11">
        <f t="shared" si="7"/>
        <v>9.1081081081081088</v>
      </c>
      <c r="AD36" s="11">
        <f t="shared" si="22"/>
        <v>33.304120792344072</v>
      </c>
      <c r="AF36" s="5">
        <f t="shared" si="8"/>
        <v>6000</v>
      </c>
      <c r="AG36" s="5">
        <f t="shared" si="23"/>
        <v>0</v>
      </c>
      <c r="AH36" s="5">
        <f t="shared" si="24"/>
        <v>208485.54891253324</v>
      </c>
      <c r="AI36" s="5">
        <f t="shared" si="25"/>
        <v>214485.54891253324</v>
      </c>
      <c r="AJ36" s="5">
        <f t="shared" si="26"/>
        <v>469.72335211844779</v>
      </c>
      <c r="AK36" s="5">
        <f t="shared" si="29"/>
        <v>2170884.4217198649</v>
      </c>
      <c r="AL36" s="5"/>
      <c r="AM36">
        <f t="shared" si="9"/>
        <v>2031</v>
      </c>
      <c r="AN36" s="10">
        <f t="shared" si="27"/>
        <v>43.136025000000004</v>
      </c>
      <c r="AP36" s="5">
        <f t="shared" si="10"/>
        <v>67.103336016921105</v>
      </c>
      <c r="AQ36" s="14">
        <f t="shared" si="28"/>
        <v>10.668256918429428</v>
      </c>
      <c r="AR36" s="14">
        <f t="shared" si="11"/>
        <v>50.326482834704052</v>
      </c>
      <c r="AS36" s="14">
        <f t="shared" si="12"/>
        <v>8.0010306573456358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9.1657183300520693</v>
      </c>
      <c r="AB38" s="11">
        <f t="shared" si="31"/>
        <v>4.9139042618915232</v>
      </c>
      <c r="AC38" s="11">
        <f t="shared" si="31"/>
        <v>9.1081081081081106</v>
      </c>
      <c r="AD38" s="11">
        <f t="shared" si="31"/>
        <v>34.987730700051706</v>
      </c>
      <c r="AF38" s="2">
        <f t="shared" ref="AF38:AI38" si="32">AVERAGE(AF25:AF36)</f>
        <v>7016.666666666667</v>
      </c>
      <c r="AG38" s="2">
        <f t="shared" si="32"/>
        <v>0</v>
      </c>
      <c r="AH38" s="2">
        <f t="shared" si="32"/>
        <v>219146.10436752465</v>
      </c>
      <c r="AI38" s="2">
        <f t="shared" si="32"/>
        <v>226162.77103419133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3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12834-475E-45D2-BE2A-658A2FB2FAE5}">
  <sheetPr codeName="Sheet11">
    <tabColor rgb="FFFF0000"/>
  </sheetPr>
  <dimension ref="A1:AZ50"/>
  <sheetViews>
    <sheetView topLeftCell="AI13" zoomScaleNormal="100" workbookViewId="0">
      <selection activeCell="Q25" sqref="Q25:Q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130000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3216727.2342050215</v>
      </c>
      <c r="P25" s="3">
        <f>C25*$P$22</f>
        <v>7000</v>
      </c>
      <c r="Q25" s="3">
        <v>276272.76579497848</v>
      </c>
      <c r="R25" s="3">
        <f>Q25-AI25</f>
        <v>-880.19846834731288</v>
      </c>
      <c r="S25" s="19"/>
      <c r="T25" s="10">
        <f>L25/24</f>
        <v>666.66666666666663</v>
      </c>
      <c r="U25" s="16">
        <v>3147.4854002502011</v>
      </c>
      <c r="V25" s="5">
        <f>LinearInterpolation(T25/U25,$AE$6:$AE$11,$AF$6:$AF$11)*U25*U25</f>
        <v>1881.2071889633828</v>
      </c>
      <c r="W25" s="2">
        <f>LinearInterpolation(T25/U25,$AE$6:$AE$11,$AC$6:$AC$11)</f>
        <v>76.742340478521214</v>
      </c>
      <c r="X25" s="10">
        <f t="shared" ref="X25:X26" si="4">V25*T25/60/60*$S$14*10/(W25/100)/1000000*IF(V25&lt;$S$18,NA(),1)</f>
        <v>4.5848929871374278</v>
      </c>
      <c r="Z25" s="9">
        <v>11.8</v>
      </c>
      <c r="AA25">
        <f t="shared" ref="AA25:AA36" si="5">LinearInterpolation(K25,$A$5:$A$19,$B$5:$B$19)</f>
        <v>4.0999999999999996</v>
      </c>
      <c r="AB25" s="10">
        <f t="shared" ref="AB25:AB36" si="6">X25</f>
        <v>4.5848929871374278</v>
      </c>
      <c r="AC25" s="11">
        <f t="shared" ref="AC25:AC36" si="7">LinearInterpolation(M25,$P$5:$P$11,$Q$5:$Q$11)</f>
        <v>9.1081081081081088</v>
      </c>
      <c r="AD25" s="11">
        <f>SUM(Z25:AC25)</f>
        <v>29.593001095245537</v>
      </c>
      <c r="AF25" s="5">
        <f t="shared" ref="AF25:AF36" si="8">P25</f>
        <v>7000</v>
      </c>
      <c r="AG25" s="5">
        <f t="shared" ref="AG25:AG36" si="9">LinearInterpolation(O25,$D$5:$D$9,$E$5:$E$9)</f>
        <v>84676.357472803444</v>
      </c>
      <c r="AH25" s="5">
        <f>LinearInterpolation(AD25,$H$5:$H$10,$I$5:$I$10)</f>
        <v>185476.60679052235</v>
      </c>
      <c r="AI25" s="5">
        <f>SUM(AF25:AH25)</f>
        <v>277152.96426332579</v>
      </c>
      <c r="AJ25" s="5">
        <f>$AG$18*AI25/1000</f>
        <v>606.96499173668337</v>
      </c>
      <c r="AK25" s="5">
        <f>AJ25*365.25</f>
        <v>221693.96323182361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48.557199338934673</v>
      </c>
      <c r="AQ25" s="14">
        <f>AP25/6.29</f>
        <v>7.7197455228830956</v>
      </c>
      <c r="AR25" s="14">
        <f t="shared" ref="AR25:AR36" si="12">AK25/AN25/1000</f>
        <v>48.557199338934673</v>
      </c>
      <c r="AS25" s="14">
        <f t="shared" ref="AS25:AS36" si="13">AR25/6.29</f>
        <v>7.7197455228830956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170000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3304908.1921589104</v>
      </c>
      <c r="P26" s="3">
        <f t="shared" ref="P26:P36" si="18">C26*$P$22</f>
        <v>7200</v>
      </c>
      <c r="Q26" s="3">
        <v>287891.80784108979</v>
      </c>
      <c r="R26" s="3">
        <f t="shared" ref="R26:R36" si="19">Q26-AI26</f>
        <v>-1275.8564891054993</v>
      </c>
      <c r="S26" s="19"/>
      <c r="T26" s="10">
        <f t="shared" ref="T26:T36" si="20">L26/24</f>
        <v>625</v>
      </c>
      <c r="U26" s="16">
        <v>3085.9039421082334</v>
      </c>
      <c r="V26" s="5">
        <f t="shared" ref="V26:V36" si="21">LinearInterpolation(T26/U26,$AE$6:$AE$11,$AF$6:$AF$11)*U26*U26</f>
        <v>1881.1889006759243</v>
      </c>
      <c r="W26" s="2">
        <f t="shared" ref="W26:W36" si="22">LinearInterpolation(T26/U26,$AE$6:$AE$11,$AC$6:$AC$11)</f>
        <v>78.261641610479998</v>
      </c>
      <c r="X26" s="10">
        <f t="shared" si="4"/>
        <v>4.2148521474998999</v>
      </c>
      <c r="Z26" s="9">
        <v>11.8</v>
      </c>
      <c r="AA26">
        <f t="shared" si="5"/>
        <v>4.0999999999999996</v>
      </c>
      <c r="AB26" s="10">
        <f t="shared" si="6"/>
        <v>4.2148521474998999</v>
      </c>
      <c r="AC26" s="11">
        <f t="shared" si="7"/>
        <v>9.1081081081081088</v>
      </c>
      <c r="AD26" s="11">
        <f t="shared" ref="AD26:AD36" si="23">SUM(Z26:AC26)</f>
        <v>29.222960255608008</v>
      </c>
      <c r="AF26" s="5">
        <f t="shared" si="8"/>
        <v>7200</v>
      </c>
      <c r="AG26" s="5">
        <f t="shared" si="9"/>
        <v>98785.310745425668</v>
      </c>
      <c r="AH26" s="5">
        <f t="shared" ref="AH26:AH36" si="24">LinearInterpolation(AD26,$H$5:$H$10,$I$5:$I$10)</f>
        <v>183182.35358476965</v>
      </c>
      <c r="AI26" s="5">
        <f t="shared" ref="AI26:AI36" si="25">SUM(AF26:AH26)</f>
        <v>289167.66433019529</v>
      </c>
      <c r="AJ26" s="5">
        <f t="shared" ref="AJ26:AJ36" si="26">$AG$18*AI26/1000</f>
        <v>633.27718488312769</v>
      </c>
      <c r="AK26" s="5">
        <f>AJ26*365.25+AK25</f>
        <v>452998.45501038601</v>
      </c>
      <c r="AL26" s="5"/>
      <c r="AM26">
        <f t="shared" si="10"/>
        <v>2021</v>
      </c>
      <c r="AN26" s="10">
        <f t="shared" ref="AN26:AN36" si="27">J26*0.00036525+AN25</f>
        <v>8.8025249999999993</v>
      </c>
      <c r="AP26" s="5">
        <f t="shared" si="11"/>
        <v>54.592860765786867</v>
      </c>
      <c r="AQ26" s="14">
        <f t="shared" ref="AQ26:AQ36" si="28">AP26/6.29</f>
        <v>8.6793101376449702</v>
      </c>
      <c r="AR26" s="14">
        <f t="shared" si="12"/>
        <v>51.462330980075151</v>
      </c>
      <c r="AS26" s="14">
        <f t="shared" si="13"/>
        <v>8.1816106486605964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0</v>
      </c>
      <c r="G27" s="8">
        <v>210000</v>
      </c>
      <c r="H27" s="3"/>
      <c r="I27" s="5"/>
      <c r="J27" s="5">
        <f t="shared" si="14"/>
        <v>10700</v>
      </c>
      <c r="K27" s="3">
        <f t="shared" si="2"/>
        <v>210000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3395681.5806471882</v>
      </c>
      <c r="P27" s="3">
        <f t="shared" si="18"/>
        <v>7400</v>
      </c>
      <c r="Q27" s="3">
        <v>296918.41935281199</v>
      </c>
      <c r="R27" s="3">
        <f t="shared" si="19"/>
        <v>-1683.3019255900872</v>
      </c>
      <c r="S27" s="19"/>
      <c r="T27" s="10">
        <f t="shared" si="20"/>
        <v>500</v>
      </c>
      <c r="U27" s="16">
        <v>2954.6796534618425</v>
      </c>
      <c r="V27" s="5">
        <f t="shared" si="21"/>
        <v>1881.1898670558762</v>
      </c>
      <c r="W27" s="2">
        <f t="shared" si="22"/>
        <v>78.49925058470626</v>
      </c>
      <c r="X27" s="10">
        <f>V27*T27/60/60*$S$14*10/(W27/100)/1000000*IF(V27&lt;$S$18,NA(),1)</f>
        <v>3.3616771136422052</v>
      </c>
      <c r="Y27" s="10"/>
      <c r="Z27" s="9">
        <v>11.8</v>
      </c>
      <c r="AA27">
        <f t="shared" si="5"/>
        <v>4.0999999999999996</v>
      </c>
      <c r="AB27" s="10">
        <f t="shared" si="6"/>
        <v>3.3616771136422052</v>
      </c>
      <c r="AC27" s="11">
        <f t="shared" si="7"/>
        <v>9.1081081081081088</v>
      </c>
      <c r="AD27" s="11">
        <f t="shared" si="23"/>
        <v>28.369785221750316</v>
      </c>
      <c r="AF27" s="5">
        <f t="shared" si="8"/>
        <v>7400</v>
      </c>
      <c r="AG27" s="5">
        <f t="shared" si="9"/>
        <v>113309.05290355012</v>
      </c>
      <c r="AH27" s="5">
        <f t="shared" si="24"/>
        <v>177892.66837485196</v>
      </c>
      <c r="AI27" s="5">
        <f t="shared" si="25"/>
        <v>298601.72127840208</v>
      </c>
      <c r="AJ27" s="5">
        <f t="shared" si="26"/>
        <v>653.93776959970057</v>
      </c>
      <c r="AK27" s="5">
        <f t="shared" ref="AK27:AK36" si="29">AJ27*365.25+AK26</f>
        <v>691849.22535667662</v>
      </c>
      <c r="AL27" s="5"/>
      <c r="AM27">
        <f t="shared" si="10"/>
        <v>2022</v>
      </c>
      <c r="AN27" s="10">
        <f t="shared" si="27"/>
        <v>12.710699999999999</v>
      </c>
      <c r="AP27" s="5">
        <f t="shared" si="11"/>
        <v>61.115679401841177</v>
      </c>
      <c r="AQ27" s="14">
        <f t="shared" si="28"/>
        <v>9.7163242292275314</v>
      </c>
      <c r="AR27" s="14">
        <f t="shared" si="12"/>
        <v>54.430458224698612</v>
      </c>
      <c r="AS27" s="14">
        <f t="shared" si="13"/>
        <v>8.6534909737199701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0</v>
      </c>
      <c r="G28" s="8">
        <v>240000</v>
      </c>
      <c r="H28" s="3"/>
      <c r="I28" s="5"/>
      <c r="J28" s="5">
        <f t="shared" si="14"/>
        <v>9800</v>
      </c>
      <c r="K28" s="3">
        <f t="shared" si="2"/>
        <v>240000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3476236.663336338</v>
      </c>
      <c r="P28" s="3">
        <f t="shared" si="18"/>
        <v>7600</v>
      </c>
      <c r="Q28" s="3">
        <v>316163.33666366187</v>
      </c>
      <c r="R28" s="3">
        <f t="shared" si="19"/>
        <v>-816.88305492186919</v>
      </c>
      <c r="S28" s="19"/>
      <c r="T28" s="10">
        <f t="shared" si="20"/>
        <v>625</v>
      </c>
      <c r="U28" s="16">
        <v>3085.9039421082334</v>
      </c>
      <c r="V28" s="5">
        <f t="shared" si="21"/>
        <v>1881.1889006759243</v>
      </c>
      <c r="W28" s="2">
        <f t="shared" si="22"/>
        <v>78.261641610479998</v>
      </c>
      <c r="X28" s="10">
        <f t="shared" ref="X28:X36" si="30">V28*T28/60/60*$S$14*10/(W28/100)/1000000*IF(V28&lt;$S$18,NA(),1)</f>
        <v>4.2148521474998999</v>
      </c>
      <c r="Y28" s="10"/>
      <c r="Z28" s="9">
        <v>11.8</v>
      </c>
      <c r="AA28">
        <f t="shared" si="5"/>
        <v>4.0999999999999996</v>
      </c>
      <c r="AB28" s="10">
        <f t="shared" si="6"/>
        <v>4.2148521474998999</v>
      </c>
      <c r="AC28" s="11">
        <f t="shared" si="7"/>
        <v>9.1081081081081088</v>
      </c>
      <c r="AD28" s="11">
        <f t="shared" si="23"/>
        <v>29.222960255608008</v>
      </c>
      <c r="AF28" s="5">
        <f t="shared" si="8"/>
        <v>7600</v>
      </c>
      <c r="AG28" s="5">
        <f t="shared" si="9"/>
        <v>126197.86613381408</v>
      </c>
      <c r="AH28" s="5">
        <f t="shared" si="24"/>
        <v>183182.35358476965</v>
      </c>
      <c r="AI28" s="5">
        <f t="shared" si="25"/>
        <v>316980.21971858374</v>
      </c>
      <c r="AJ28" s="5">
        <f t="shared" si="26"/>
        <v>694.1866811836984</v>
      </c>
      <c r="AK28" s="5">
        <f t="shared" si="29"/>
        <v>945400.9106590224</v>
      </c>
      <c r="AL28" s="5"/>
      <c r="AM28">
        <f t="shared" si="10"/>
        <v>2023</v>
      </c>
      <c r="AN28" s="10">
        <f t="shared" si="27"/>
        <v>16.290150000000001</v>
      </c>
      <c r="AP28" s="5">
        <f t="shared" si="11"/>
        <v>70.835375630989631</v>
      </c>
      <c r="AQ28" s="14">
        <f t="shared" si="28"/>
        <v>11.261585950872755</v>
      </c>
      <c r="AR28" s="14">
        <f t="shared" si="12"/>
        <v>58.035126174959863</v>
      </c>
      <c r="AS28" s="14">
        <f t="shared" si="13"/>
        <v>9.2265701391033161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0</v>
      </c>
      <c r="G29" s="8">
        <v>280000</v>
      </c>
      <c r="H29" s="3"/>
      <c r="I29" s="5"/>
      <c r="J29" s="5">
        <f t="shared" si="14"/>
        <v>9900</v>
      </c>
      <c r="K29" s="3">
        <f t="shared" si="2"/>
        <v>280000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3565742.4328750609</v>
      </c>
      <c r="P29" s="3">
        <f t="shared" si="18"/>
        <v>7800</v>
      </c>
      <c r="Q29" s="3">
        <v>326457.567124939</v>
      </c>
      <c r="R29" s="3">
        <f t="shared" si="19"/>
        <v>-9.3520402938011102</v>
      </c>
      <c r="S29" s="19"/>
      <c r="T29" s="10">
        <f t="shared" si="20"/>
        <v>708.33333333333337</v>
      </c>
      <c r="U29" s="16">
        <v>3213.4728917920038</v>
      </c>
      <c r="V29" s="5">
        <f>LinearInterpolation(T29/U29,$AE$6:$AE$11,$AF$6:$AF$11)*U29*U29</f>
        <v>1881.1933062261235</v>
      </c>
      <c r="W29" s="2">
        <f t="shared" si="22"/>
        <v>75.095008132178194</v>
      </c>
      <c r="X29" s="10">
        <f t="shared" si="30"/>
        <v>4.978275291122876</v>
      </c>
      <c r="Y29" s="10"/>
      <c r="Z29" s="9">
        <v>11.8</v>
      </c>
      <c r="AA29">
        <f t="shared" si="5"/>
        <v>4.0999999999999996</v>
      </c>
      <c r="AB29" s="10">
        <f t="shared" si="6"/>
        <v>4.978275291122876</v>
      </c>
      <c r="AC29" s="11">
        <f t="shared" si="7"/>
        <v>9.1081081081081088</v>
      </c>
      <c r="AD29" s="11">
        <f t="shared" si="23"/>
        <v>29.986383399230984</v>
      </c>
      <c r="AF29" s="5">
        <f t="shared" si="8"/>
        <v>7800</v>
      </c>
      <c r="AG29" s="5">
        <f t="shared" si="9"/>
        <v>130751.34209000069</v>
      </c>
      <c r="AH29" s="5">
        <f t="shared" si="24"/>
        <v>187915.57707523211</v>
      </c>
      <c r="AI29" s="5">
        <f t="shared" si="25"/>
        <v>326466.9191652328</v>
      </c>
      <c r="AJ29" s="5">
        <f t="shared" si="26"/>
        <v>714.96255297185985</v>
      </c>
      <c r="AK29" s="5">
        <f t="shared" si="29"/>
        <v>1206540.9831319943</v>
      </c>
      <c r="AL29" s="5"/>
      <c r="AM29">
        <f t="shared" si="10"/>
        <v>2024</v>
      </c>
      <c r="AN29" s="10">
        <f t="shared" si="27"/>
        <v>19.906124999999999</v>
      </c>
      <c r="AP29" s="5">
        <f t="shared" si="11"/>
        <v>72.218439694127255</v>
      </c>
      <c r="AQ29" s="14">
        <f t="shared" si="28"/>
        <v>11.481468949781757</v>
      </c>
      <c r="AR29" s="14">
        <f t="shared" si="12"/>
        <v>60.61154459403798</v>
      </c>
      <c r="AS29" s="14">
        <f t="shared" si="13"/>
        <v>9.6361756111348136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0</v>
      </c>
      <c r="G30" s="8">
        <v>310000</v>
      </c>
      <c r="H30" s="3"/>
      <c r="I30" s="5"/>
      <c r="J30" s="5">
        <f t="shared" si="14"/>
        <v>10000</v>
      </c>
      <c r="K30" s="3">
        <f t="shared" si="2"/>
        <v>310000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3660794.7079800395</v>
      </c>
      <c r="P30" s="3">
        <f t="shared" si="18"/>
        <v>8000</v>
      </c>
      <c r="Q30" s="3">
        <v>331205.29201996035</v>
      </c>
      <c r="R30" s="3">
        <f t="shared" si="19"/>
        <v>-9.1502772808307782</v>
      </c>
      <c r="S30" s="19"/>
      <c r="T30" s="10">
        <f t="shared" si="20"/>
        <v>750</v>
      </c>
      <c r="U30" s="16">
        <v>3316.3271072769385</v>
      </c>
      <c r="V30" s="5">
        <f t="shared" si="21"/>
        <v>1947.106437399844</v>
      </c>
      <c r="W30" s="2">
        <f t="shared" si="22"/>
        <v>74.000007518036313</v>
      </c>
      <c r="X30" s="10">
        <f t="shared" si="30"/>
        <v>5.5365351970136638</v>
      </c>
      <c r="Y30" s="10"/>
      <c r="Z30" s="9">
        <v>11.8</v>
      </c>
      <c r="AA30">
        <f t="shared" si="5"/>
        <v>4.0999999999999996</v>
      </c>
      <c r="AB30" s="10">
        <f t="shared" si="6"/>
        <v>5.5365351970136638</v>
      </c>
      <c r="AC30" s="11">
        <f t="shared" si="7"/>
        <v>9.1081081081081088</v>
      </c>
      <c r="AD30" s="11">
        <f t="shared" si="23"/>
        <v>30.544643305121774</v>
      </c>
      <c r="AF30" s="5">
        <f t="shared" si="8"/>
        <v>8000</v>
      </c>
      <c r="AG30" s="5">
        <f t="shared" si="9"/>
        <v>131837.65380548616</v>
      </c>
      <c r="AH30" s="5">
        <f t="shared" si="24"/>
        <v>191376.788491755</v>
      </c>
      <c r="AI30" s="5">
        <f t="shared" si="25"/>
        <v>331214.44229724118</v>
      </c>
      <c r="AJ30" s="5">
        <f t="shared" si="26"/>
        <v>725.35962863095813</v>
      </c>
      <c r="AK30" s="5">
        <f t="shared" si="29"/>
        <v>1471478.5874894517</v>
      </c>
      <c r="AL30" s="5"/>
      <c r="AM30">
        <f t="shared" si="10"/>
        <v>2024</v>
      </c>
      <c r="AN30" s="10">
        <f t="shared" si="27"/>
        <v>23.558624999999999</v>
      </c>
      <c r="AP30" s="5">
        <f t="shared" si="11"/>
        <v>72.535962863095818</v>
      </c>
      <c r="AQ30" s="14">
        <f t="shared" si="28"/>
        <v>11.531949580778349</v>
      </c>
      <c r="AR30" s="14">
        <f t="shared" si="12"/>
        <v>62.460291612496562</v>
      </c>
      <c r="AS30" s="14">
        <f t="shared" si="13"/>
        <v>9.9300940560407884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0</v>
      </c>
      <c r="G31" s="8">
        <v>350000</v>
      </c>
      <c r="H31" s="3"/>
      <c r="I31" s="5"/>
      <c r="J31" s="5">
        <f t="shared" si="14"/>
        <v>11100</v>
      </c>
      <c r="K31" s="3">
        <f t="shared" si="2"/>
        <v>350000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3759269.3340698355</v>
      </c>
      <c r="P31" s="3">
        <f t="shared" si="18"/>
        <v>8200</v>
      </c>
      <c r="Q31" s="3">
        <v>332530.6659301644</v>
      </c>
      <c r="R31" s="3">
        <f t="shared" si="19"/>
        <v>-9.2006652458803728</v>
      </c>
      <c r="S31" s="19"/>
      <c r="T31" s="10">
        <f t="shared" si="20"/>
        <v>750</v>
      </c>
      <c r="U31" s="16">
        <v>3316.3271072769385</v>
      </c>
      <c r="V31" s="5">
        <f>LinearInterpolation(T31/U31,$AE$6:$AE$11,$AF$6:$AF$11)*U31*U31</f>
        <v>1947.106437399844</v>
      </c>
      <c r="W31" s="2">
        <f t="shared" si="22"/>
        <v>74.000007518036313</v>
      </c>
      <c r="X31" s="10">
        <f t="shared" si="30"/>
        <v>5.5365351970136638</v>
      </c>
      <c r="Y31" s="10"/>
      <c r="Z31" s="9">
        <v>11.8</v>
      </c>
      <c r="AA31">
        <f t="shared" si="5"/>
        <v>4.0999999999999996</v>
      </c>
      <c r="AB31" s="10">
        <f t="shared" si="6"/>
        <v>5.5365351970136638</v>
      </c>
      <c r="AC31" s="11">
        <f t="shared" si="7"/>
        <v>9.1081081081081088</v>
      </c>
      <c r="AD31" s="11">
        <f t="shared" si="23"/>
        <v>30.544643305121774</v>
      </c>
      <c r="AF31" s="5">
        <f t="shared" si="8"/>
        <v>8200</v>
      </c>
      <c r="AG31" s="5">
        <f t="shared" si="9"/>
        <v>132963.07810365525</v>
      </c>
      <c r="AH31" s="5">
        <f t="shared" si="24"/>
        <v>191376.788491755</v>
      </c>
      <c r="AI31" s="5">
        <f t="shared" si="25"/>
        <v>332539.86659541028</v>
      </c>
      <c r="AJ31" s="5">
        <f t="shared" si="26"/>
        <v>728.26230784394852</v>
      </c>
      <c r="AK31" s="5">
        <f t="shared" si="29"/>
        <v>1737476.3954294538</v>
      </c>
      <c r="AL31" s="5"/>
      <c r="AM31">
        <f t="shared" si="10"/>
        <v>2026</v>
      </c>
      <c r="AN31" s="10">
        <f t="shared" si="27"/>
        <v>27.6129</v>
      </c>
      <c r="AP31" s="5">
        <f t="shared" si="11"/>
        <v>65.609216922878247</v>
      </c>
      <c r="AQ31" s="14">
        <f t="shared" si="28"/>
        <v>10.43071811174535</v>
      </c>
      <c r="AR31" s="14">
        <f t="shared" si="12"/>
        <v>62.922633820766883</v>
      </c>
      <c r="AS31" s="14">
        <f t="shared" si="13"/>
        <v>10.00359838167995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0</v>
      </c>
      <c r="G32" s="8">
        <v>390000</v>
      </c>
      <c r="H32" s="3"/>
      <c r="I32" s="5"/>
      <c r="J32" s="5">
        <f t="shared" si="14"/>
        <v>10500</v>
      </c>
      <c r="K32" s="3">
        <f t="shared" si="2"/>
        <v>390000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4140551.5863155588</v>
      </c>
      <c r="P32" s="3">
        <f t="shared" si="18"/>
        <v>9000</v>
      </c>
      <c r="Q32" s="3">
        <v>350448.41368444124</v>
      </c>
      <c r="R32" s="3">
        <f t="shared" si="19"/>
        <v>-9.6870712414383888</v>
      </c>
      <c r="S32" s="19"/>
      <c r="T32" s="10">
        <f t="shared" si="20"/>
        <v>833.33333333333337</v>
      </c>
      <c r="U32" s="16">
        <v>3684.8112686507611</v>
      </c>
      <c r="V32" s="5">
        <f t="shared" si="21"/>
        <v>2403.8420243392247</v>
      </c>
      <c r="W32" s="2">
        <f t="shared" si="22"/>
        <v>74.000047079192697</v>
      </c>
      <c r="X32" s="10">
        <f t="shared" si="30"/>
        <v>7.5947162786323101</v>
      </c>
      <c r="Y32" s="10"/>
      <c r="Z32" s="9">
        <v>11.8</v>
      </c>
      <c r="AA32">
        <f t="shared" si="5"/>
        <v>4.0999999999999996</v>
      </c>
      <c r="AB32" s="10">
        <f t="shared" si="6"/>
        <v>7.5947162786323101</v>
      </c>
      <c r="AC32" s="11">
        <f t="shared" si="7"/>
        <v>9.1081081081081088</v>
      </c>
      <c r="AD32" s="11">
        <f t="shared" si="23"/>
        <v>32.602824386740423</v>
      </c>
      <c r="AF32" s="5">
        <f t="shared" si="8"/>
        <v>9000</v>
      </c>
      <c r="AG32" s="5">
        <f t="shared" si="9"/>
        <v>137320.58955789209</v>
      </c>
      <c r="AH32" s="5">
        <f t="shared" si="24"/>
        <v>204137.51119779062</v>
      </c>
      <c r="AI32" s="5">
        <f t="shared" si="25"/>
        <v>350458.10075568268</v>
      </c>
      <c r="AJ32" s="5">
        <f t="shared" si="26"/>
        <v>767.50324065494499</v>
      </c>
      <c r="AK32" s="5">
        <f t="shared" si="29"/>
        <v>2017806.9540786725</v>
      </c>
      <c r="AL32" s="5"/>
      <c r="AM32">
        <f t="shared" si="10"/>
        <v>2027</v>
      </c>
      <c r="AN32" s="10">
        <f t="shared" si="27"/>
        <v>31.448025000000001</v>
      </c>
      <c r="AP32" s="5">
        <f t="shared" si="11"/>
        <v>73.095546729042383</v>
      </c>
      <c r="AQ32" s="14">
        <f t="shared" si="28"/>
        <v>11.620913629418503</v>
      </c>
      <c r="AR32" s="14">
        <f t="shared" si="12"/>
        <v>64.163232955922425</v>
      </c>
      <c r="AS32" s="14">
        <f t="shared" si="13"/>
        <v>10.200831948477333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0</v>
      </c>
      <c r="G33" s="8">
        <v>430000</v>
      </c>
      <c r="H33" s="3"/>
      <c r="I33" s="5"/>
      <c r="J33" s="5">
        <f t="shared" si="14"/>
        <v>9500</v>
      </c>
      <c r="K33" s="3">
        <f t="shared" si="2"/>
        <v>430000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3218454.7649589102</v>
      </c>
      <c r="P33" s="3">
        <f t="shared" si="18"/>
        <v>7000</v>
      </c>
      <c r="Q33" s="3">
        <v>274545.23504108982</v>
      </c>
      <c r="R33" s="3">
        <f t="shared" si="19"/>
        <v>-589.88093710545218</v>
      </c>
      <c r="S33" s="19"/>
      <c r="T33" s="10">
        <f t="shared" si="20"/>
        <v>625</v>
      </c>
      <c r="U33" s="16">
        <v>3085.9039421082334</v>
      </c>
      <c r="V33" s="5">
        <f t="shared" si="21"/>
        <v>1881.1889006759243</v>
      </c>
      <c r="W33" s="2">
        <f t="shared" si="22"/>
        <v>78.261641610479998</v>
      </c>
      <c r="X33" s="10">
        <f t="shared" si="30"/>
        <v>4.2148521474998999</v>
      </c>
      <c r="Y33" s="10"/>
      <c r="Z33" s="9">
        <v>11.8</v>
      </c>
      <c r="AA33">
        <f t="shared" si="5"/>
        <v>4.0999999999999996</v>
      </c>
      <c r="AB33" s="10">
        <f t="shared" si="6"/>
        <v>4.2148521474998999</v>
      </c>
      <c r="AC33" s="11">
        <f t="shared" si="7"/>
        <v>9.1081081081081088</v>
      </c>
      <c r="AD33" s="11">
        <f t="shared" si="23"/>
        <v>29.222960255608008</v>
      </c>
      <c r="AF33" s="5">
        <f t="shared" si="8"/>
        <v>7000</v>
      </c>
      <c r="AG33" s="5">
        <f t="shared" si="9"/>
        <v>84952.762393425626</v>
      </c>
      <c r="AH33" s="5">
        <f t="shared" si="24"/>
        <v>183182.35358476965</v>
      </c>
      <c r="AI33" s="5">
        <f t="shared" si="25"/>
        <v>275135.11597819527</v>
      </c>
      <c r="AJ33" s="5">
        <f t="shared" si="26"/>
        <v>602.54590399224764</v>
      </c>
      <c r="AK33" s="5">
        <f t="shared" si="29"/>
        <v>2237886.8455118411</v>
      </c>
      <c r="AL33" s="5"/>
      <c r="AM33">
        <f t="shared" si="10"/>
        <v>2028</v>
      </c>
      <c r="AN33" s="10">
        <f t="shared" si="27"/>
        <v>34.917900000000003</v>
      </c>
      <c r="AP33" s="5">
        <f t="shared" si="11"/>
        <v>63.425884630762909</v>
      </c>
      <c r="AQ33" s="14">
        <f t="shared" si="28"/>
        <v>10.083606459580748</v>
      </c>
      <c r="AR33" s="14">
        <f t="shared" si="12"/>
        <v>64.089960894321848</v>
      </c>
      <c r="AS33" s="14">
        <f t="shared" si="13"/>
        <v>10.189182972070245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0</v>
      </c>
      <c r="G34" s="8">
        <v>460000</v>
      </c>
      <c r="H34" s="3"/>
      <c r="I34" s="5"/>
      <c r="J34" s="5">
        <f t="shared" si="14"/>
        <v>7500</v>
      </c>
      <c r="K34" s="3">
        <f t="shared" si="2"/>
        <v>460000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2248623.2115082452</v>
      </c>
      <c r="P34" s="3">
        <f t="shared" si="18"/>
        <v>5000</v>
      </c>
      <c r="Q34" s="3">
        <v>246376.788491755</v>
      </c>
      <c r="R34" s="3">
        <f t="shared" si="19"/>
        <v>0</v>
      </c>
      <c r="S34" s="19"/>
      <c r="T34" s="10">
        <f t="shared" si="20"/>
        <v>750</v>
      </c>
      <c r="U34" s="16">
        <v>3316.3271072769385</v>
      </c>
      <c r="V34" s="5">
        <f t="shared" si="21"/>
        <v>1947.106437399844</v>
      </c>
      <c r="W34" s="2">
        <f t="shared" si="22"/>
        <v>74.000007518036313</v>
      </c>
      <c r="X34" s="10">
        <f t="shared" si="30"/>
        <v>5.5365351970136638</v>
      </c>
      <c r="Y34" s="10"/>
      <c r="Z34" s="9">
        <v>11.8</v>
      </c>
      <c r="AA34">
        <f t="shared" si="5"/>
        <v>4.0999999999999996</v>
      </c>
      <c r="AB34" s="10">
        <f t="shared" si="6"/>
        <v>5.5365351970136638</v>
      </c>
      <c r="AC34" s="11">
        <f t="shared" si="7"/>
        <v>9.1081081081081088</v>
      </c>
      <c r="AD34" s="11">
        <f t="shared" si="23"/>
        <v>30.544643305121774</v>
      </c>
      <c r="AF34" s="5">
        <f t="shared" si="8"/>
        <v>5000</v>
      </c>
      <c r="AG34" s="5">
        <f t="shared" si="9"/>
        <v>50000</v>
      </c>
      <c r="AH34" s="5">
        <f t="shared" si="24"/>
        <v>191376.788491755</v>
      </c>
      <c r="AI34" s="5">
        <f t="shared" si="25"/>
        <v>246376.788491755</v>
      </c>
      <c r="AJ34" s="5">
        <f t="shared" si="26"/>
        <v>539.56516679694346</v>
      </c>
      <c r="AK34" s="5">
        <f t="shared" si="29"/>
        <v>2434963.0226844246</v>
      </c>
      <c r="AL34" s="5"/>
      <c r="AM34">
        <f t="shared" si="10"/>
        <v>2029</v>
      </c>
      <c r="AN34" s="10">
        <f t="shared" si="27"/>
        <v>37.657275000000006</v>
      </c>
      <c r="AP34" s="5">
        <f t="shared" si="11"/>
        <v>71.942022239592461</v>
      </c>
      <c r="AQ34" s="14">
        <f t="shared" si="28"/>
        <v>11.437523408520264</v>
      </c>
      <c r="AR34" s="14">
        <f t="shared" si="12"/>
        <v>64.661158373366746</v>
      </c>
      <c r="AS34" s="14">
        <f t="shared" si="13"/>
        <v>10.279993382093283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0</v>
      </c>
      <c r="G35" s="8">
        <v>500000</v>
      </c>
      <c r="H35" s="3"/>
      <c r="I35" s="5"/>
      <c r="J35" s="5">
        <f t="shared" si="14"/>
        <v>8000</v>
      </c>
      <c r="K35" s="3">
        <f t="shared" si="2"/>
        <v>500000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1754084.4229247679</v>
      </c>
      <c r="P35" s="3">
        <f t="shared" si="18"/>
        <v>4000</v>
      </c>
      <c r="Q35" s="3">
        <v>241915.57707523211</v>
      </c>
      <c r="R35" s="3">
        <f t="shared" si="19"/>
        <v>0</v>
      </c>
      <c r="S35" s="19"/>
      <c r="T35" s="10">
        <f t="shared" si="20"/>
        <v>708.33333333333337</v>
      </c>
      <c r="U35" s="16">
        <v>3213.4728917920038</v>
      </c>
      <c r="V35" s="5">
        <f t="shared" si="21"/>
        <v>1881.1933062261235</v>
      </c>
      <c r="W35" s="2">
        <f t="shared" si="22"/>
        <v>75.095008132178194</v>
      </c>
      <c r="X35" s="10">
        <f t="shared" si="30"/>
        <v>4.978275291122876</v>
      </c>
      <c r="Y35" s="10"/>
      <c r="Z35" s="9">
        <v>11.8</v>
      </c>
      <c r="AA35">
        <f t="shared" si="5"/>
        <v>4.0999999999999996</v>
      </c>
      <c r="AB35" s="10">
        <f t="shared" si="6"/>
        <v>4.978275291122876</v>
      </c>
      <c r="AC35" s="11">
        <f t="shared" si="7"/>
        <v>9.1081081081081088</v>
      </c>
      <c r="AD35" s="11">
        <f t="shared" si="23"/>
        <v>29.986383399230984</v>
      </c>
      <c r="AF35" s="5">
        <f t="shared" si="8"/>
        <v>4000</v>
      </c>
      <c r="AG35" s="5">
        <f t="shared" si="9"/>
        <v>50000</v>
      </c>
      <c r="AH35" s="5">
        <f t="shared" si="24"/>
        <v>187915.57707523211</v>
      </c>
      <c r="AI35" s="5">
        <f t="shared" si="25"/>
        <v>241915.57707523211</v>
      </c>
      <c r="AJ35" s="5">
        <f t="shared" si="26"/>
        <v>529.79511379475832</v>
      </c>
      <c r="AK35" s="5">
        <f t="shared" si="29"/>
        <v>2628470.68799796</v>
      </c>
      <c r="AL35" s="5"/>
      <c r="AM35">
        <f t="shared" si="10"/>
        <v>2030</v>
      </c>
      <c r="AN35" s="10">
        <f t="shared" si="27"/>
        <v>40.579275000000003</v>
      </c>
      <c r="AP35" s="5">
        <f t="shared" si="11"/>
        <v>66.22438922434479</v>
      </c>
      <c r="AQ35" s="14">
        <f t="shared" si="28"/>
        <v>10.528519749498377</v>
      </c>
      <c r="AR35" s="14">
        <f t="shared" si="12"/>
        <v>64.773722251024935</v>
      </c>
      <c r="AS35" s="14">
        <f t="shared" si="13"/>
        <v>10.297889070115252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0</v>
      </c>
      <c r="G36" s="8">
        <v>530000</v>
      </c>
      <c r="H36" s="3"/>
      <c r="I36" s="5"/>
      <c r="J36" s="5">
        <f t="shared" si="14"/>
        <v>7000</v>
      </c>
      <c r="K36" s="3">
        <f t="shared" si="2"/>
        <v>530000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2754817.6464152304</v>
      </c>
      <c r="P36" s="3">
        <f t="shared" si="18"/>
        <v>6000</v>
      </c>
      <c r="Q36" s="3">
        <v>239182.35358476965</v>
      </c>
      <c r="R36" s="3">
        <f t="shared" si="19"/>
        <v>0</v>
      </c>
      <c r="S36" s="19"/>
      <c r="T36" s="10">
        <f t="shared" si="20"/>
        <v>625</v>
      </c>
      <c r="U36" s="16">
        <v>3085.9039421082334</v>
      </c>
      <c r="V36" s="5">
        <f t="shared" si="21"/>
        <v>1881.1889006759243</v>
      </c>
      <c r="W36" s="2">
        <f t="shared" si="22"/>
        <v>78.261641610479998</v>
      </c>
      <c r="X36" s="10">
        <f t="shared" si="30"/>
        <v>4.2148521474998999</v>
      </c>
      <c r="Y36" s="10"/>
      <c r="Z36" s="9">
        <v>11.8</v>
      </c>
      <c r="AA36">
        <f t="shared" si="5"/>
        <v>4.0999999999999996</v>
      </c>
      <c r="AB36" s="10">
        <f t="shared" si="6"/>
        <v>4.2148521474998999</v>
      </c>
      <c r="AC36" s="11">
        <f t="shared" si="7"/>
        <v>9.1081081081081088</v>
      </c>
      <c r="AD36" s="11">
        <f t="shared" si="23"/>
        <v>29.222960255608008</v>
      </c>
      <c r="AF36" s="5">
        <f t="shared" si="8"/>
        <v>6000</v>
      </c>
      <c r="AG36" s="5">
        <f t="shared" si="9"/>
        <v>50000</v>
      </c>
      <c r="AH36" s="5">
        <f t="shared" si="24"/>
        <v>183182.35358476965</v>
      </c>
      <c r="AI36" s="5">
        <f t="shared" si="25"/>
        <v>239182.35358476965</v>
      </c>
      <c r="AJ36" s="5">
        <f t="shared" si="26"/>
        <v>523.80935435064555</v>
      </c>
      <c r="AK36" s="5">
        <f t="shared" si="29"/>
        <v>2819792.0546745332</v>
      </c>
      <c r="AL36" s="5"/>
      <c r="AM36">
        <f t="shared" si="10"/>
        <v>2031</v>
      </c>
      <c r="AN36" s="10">
        <f t="shared" si="27"/>
        <v>43.136025000000004</v>
      </c>
      <c r="AP36" s="5">
        <f t="shared" si="11"/>
        <v>74.829907764377936</v>
      </c>
      <c r="AQ36" s="14">
        <f t="shared" si="28"/>
        <v>11.896646703398718</v>
      </c>
      <c r="AR36" s="14">
        <f t="shared" si="12"/>
        <v>65.369770503298184</v>
      </c>
      <c r="AS36" s="14">
        <f t="shared" si="13"/>
        <v>10.392650318489377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4.1000000000000005</v>
      </c>
      <c r="AB38" s="11">
        <f t="shared" si="31"/>
        <v>4.9139042618915232</v>
      </c>
      <c r="AC38" s="11">
        <f t="shared" si="31"/>
        <v>9.1081081081081106</v>
      </c>
      <c r="AD38" s="11">
        <f t="shared" si="31"/>
        <v>29.922012369999639</v>
      </c>
      <c r="AF38" s="2">
        <f t="shared" ref="AF38:AI38" si="32">AVERAGE(AF25:AF36)</f>
        <v>7016.666666666667</v>
      </c>
      <c r="AG38" s="2">
        <f t="shared" si="32"/>
        <v>99232.83443383775</v>
      </c>
      <c r="AH38" s="2">
        <f t="shared" si="32"/>
        <v>187516.47669399774</v>
      </c>
      <c r="AI38" s="2">
        <f t="shared" si="32"/>
        <v>293765.97779450216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2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9F4F5-1BAE-4E44-A6A3-A993A2711DE2}">
  <sheetPr codeName="Sheet12">
    <tabColor rgb="FFFF0000"/>
  </sheetPr>
  <dimension ref="A1:AZ50"/>
  <sheetViews>
    <sheetView topLeftCell="J13" zoomScaleNormal="100" workbookViewId="0">
      <selection activeCell="W40" sqref="W40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/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/>
    </row>
    <row r="20" spans="1:45">
      <c r="M20" t="s">
        <v>81</v>
      </c>
    </row>
    <row r="21" spans="1:45">
      <c r="M21" s="18">
        <f>SUM(M25:M36)/SUM(L25:M36)</f>
        <v>0.54854368932038833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>D25</f>
        <v>18000</v>
      </c>
      <c r="M25" s="3">
        <f>E25-L25</f>
        <v>16000</v>
      </c>
      <c r="N25" s="3">
        <f>L25+M25</f>
        <v>34000</v>
      </c>
      <c r="O25" s="3">
        <f>MAX(C25-F25-P25-Q25,0)</f>
        <v>1060199.96932009</v>
      </c>
      <c r="P25" s="3">
        <f>C25*$P$22</f>
        <v>7000</v>
      </c>
      <c r="Q25" s="3">
        <v>232800.03067991007</v>
      </c>
      <c r="R25" s="3">
        <f>Q25-AI25</f>
        <v>0</v>
      </c>
      <c r="S25" s="19"/>
      <c r="T25" s="10">
        <f>L25/24</f>
        <v>750</v>
      </c>
      <c r="U25" s="16">
        <v>3329.3406806671505</v>
      </c>
      <c r="V25" s="5">
        <f>LinearInterpolation(T25/U25,$AE$6:$AE$11,$AF$6:$AF$11)*U25*U25</f>
        <v>1971.1963989390804</v>
      </c>
      <c r="W25" s="2">
        <f>LinearInterpolation(T25/U25,$AE$6:$AE$11,$AC$6:$AC$11)</f>
        <v>74.169003613412812</v>
      </c>
      <c r="X25" s="10">
        <f t="shared" ref="X25:X26" si="3">V25*T25/60/60*$S$14*10/(W25/100)/1000000*IF(V25&lt;$S$18,NA(),1)</f>
        <v>5.5922630128887194</v>
      </c>
      <c r="Z25" s="9">
        <v>11.8</v>
      </c>
      <c r="AA25">
        <f t="shared" ref="AA25:AA36" si="4">LinearInterpolation(K25,$A$5:$A$19,$B$5:$B$19)</f>
        <v>4.8899999999999997</v>
      </c>
      <c r="AB25" s="10">
        <f t="shared" ref="AB25:AB36" si="5">X25</f>
        <v>5.5922630128887194</v>
      </c>
      <c r="AC25" s="11">
        <f t="shared" ref="AC25:AC36" si="6">LinearInterpolation(M25,$P$5:$P$11,$Q$5:$Q$11)</f>
        <v>5.75</v>
      </c>
      <c r="AD25" s="11">
        <f>SUM(Z25:AC25)</f>
        <v>28.03226301288872</v>
      </c>
      <c r="AF25" s="5">
        <f t="shared" ref="AF25:AF36" si="7">P25</f>
        <v>7000</v>
      </c>
      <c r="AG25" s="5">
        <f t="shared" ref="AG25:AG36" si="8">LinearInterpolation(O25,$D$5:$D$9,$E$5:$E$9)</f>
        <v>50000</v>
      </c>
      <c r="AH25" s="5">
        <f>LinearInterpolation(AD25,$H$5:$H$10,$I$5:$I$10)</f>
        <v>175800.03067991007</v>
      </c>
      <c r="AI25" s="5">
        <f>SUM(AF25:AH25)</f>
        <v>232800.03067991007</v>
      </c>
      <c r="AJ25" s="5">
        <f>$AG$18*AI25/1000</f>
        <v>509.83206718900306</v>
      </c>
      <c r="AK25" s="5">
        <f>AJ25*365.25</f>
        <v>186216.16254078338</v>
      </c>
      <c r="AL25" s="5"/>
      <c r="AM25">
        <f t="shared" ref="AM25:AM36" si="9">YEAR(A25)</f>
        <v>2020</v>
      </c>
      <c r="AN25" s="10">
        <f>J25*0.00036525</f>
        <v>4.5656249999999998</v>
      </c>
      <c r="AP25" s="5">
        <f t="shared" ref="AP25:AP36" si="10">AJ25*1000/J25</f>
        <v>40.786565375120247</v>
      </c>
      <c r="AQ25" s="14">
        <f>AP25/6.29</f>
        <v>6.4843506160763509</v>
      </c>
      <c r="AR25" s="14">
        <f t="shared" ref="AR25:AR36" si="11">AK25/AN25/1000</f>
        <v>40.786565375120247</v>
      </c>
      <c r="AS25" s="14">
        <f t="shared" ref="AS25:AS36" si="12">AR25/6.29</f>
        <v>6.4843506160763509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3">B26+C26/1000</f>
        <v>11600</v>
      </c>
      <c r="K26" s="3">
        <f t="shared" si="2"/>
        <v>2370000</v>
      </c>
      <c r="L26" s="3">
        <f t="shared" ref="L26:L36" si="14">D26</f>
        <v>19000</v>
      </c>
      <c r="M26" s="3">
        <f t="shared" ref="M26:M36" si="15">E26-L26</f>
        <v>14000</v>
      </c>
      <c r="N26" s="3">
        <f t="shared" ref="N26:N36" si="16">L26+M26</f>
        <v>33000</v>
      </c>
      <c r="O26" s="3">
        <f t="shared" ref="O26:O36" si="17">MAX(C26-F26-P26-Q26,0)</f>
        <v>1140686.6998771003</v>
      </c>
      <c r="P26" s="3">
        <f t="shared" ref="P26:P36" si="18">C26*$P$22</f>
        <v>7200</v>
      </c>
      <c r="Q26" s="3">
        <v>252113.30012289961</v>
      </c>
      <c r="R26" s="3">
        <f t="shared" ref="R26:R36" si="19">Q26-AI26</f>
        <v>0</v>
      </c>
      <c r="S26" s="19"/>
      <c r="T26" s="10">
        <f t="shared" ref="T26:T36" si="20">L26/24</f>
        <v>791.66666666666663</v>
      </c>
      <c r="U26" s="16">
        <v>4000</v>
      </c>
      <c r="V26" s="5">
        <f t="shared" ref="V26:V36" si="21">LinearInterpolation(T26/U26,$AE$6:$AE$11,$AF$6:$AF$11)*U26*U26</f>
        <v>3208.9069445671057</v>
      </c>
      <c r="W26" s="2">
        <f t="shared" ref="W26:W36" si="22">LinearInterpolation(T26/U26,$AE$6:$AE$11,$AC$6:$AC$11)</f>
        <v>78.709577114427859</v>
      </c>
      <c r="X26" s="10">
        <f t="shared" si="3"/>
        <v>9.0550484069192922</v>
      </c>
      <c r="Z26" s="9">
        <v>11.8</v>
      </c>
      <c r="AA26">
        <f t="shared" si="4"/>
        <v>5.01</v>
      </c>
      <c r="AB26" s="10">
        <f t="shared" si="5"/>
        <v>9.0550484069192922</v>
      </c>
      <c r="AC26" s="11">
        <f t="shared" si="6"/>
        <v>5.25</v>
      </c>
      <c r="AD26" s="11">
        <f t="shared" ref="AD26:AD36" si="23">SUM(Z26:AC26)</f>
        <v>31.115048406919293</v>
      </c>
      <c r="AF26" s="5">
        <f t="shared" si="7"/>
        <v>7200</v>
      </c>
      <c r="AG26" s="5">
        <f t="shared" si="8"/>
        <v>50000</v>
      </c>
      <c r="AH26" s="5">
        <f t="shared" ref="AH26:AH36" si="24">LinearInterpolation(AD26,$H$5:$H$10,$I$5:$I$10)</f>
        <v>194913.30012289961</v>
      </c>
      <c r="AI26" s="5">
        <f t="shared" ref="AI26:AI36" si="25">SUM(AF26:AH26)</f>
        <v>252113.30012289961</v>
      </c>
      <c r="AJ26" s="5">
        <f t="shared" ref="AJ26:AJ36" si="26">$AG$18*AI26/1000</f>
        <v>552.12812726915013</v>
      </c>
      <c r="AK26" s="5">
        <f>AJ26*365.25+AK25</f>
        <v>387880.96102584049</v>
      </c>
      <c r="AL26" s="5"/>
      <c r="AM26">
        <f t="shared" si="9"/>
        <v>2021</v>
      </c>
      <c r="AN26" s="10">
        <f t="shared" ref="AN26:AN36" si="27">J26*0.00036525+AN25</f>
        <v>8.8025249999999993</v>
      </c>
      <c r="AP26" s="5">
        <f t="shared" si="10"/>
        <v>47.5972523507888</v>
      </c>
      <c r="AQ26" s="14">
        <f t="shared" ref="AQ26:AQ36" si="28">AP26/6.29</f>
        <v>7.5671307393940861</v>
      </c>
      <c r="AR26" s="14">
        <f t="shared" si="11"/>
        <v>44.064738359259479</v>
      </c>
      <c r="AS26" s="14">
        <f t="shared" si="12"/>
        <v>7.0055227916151797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3"/>
        <v>10700</v>
      </c>
      <c r="K27" s="3">
        <f t="shared" si="2"/>
        <v>2410000</v>
      </c>
      <c r="L27" s="3">
        <f t="shared" si="14"/>
        <v>15000</v>
      </c>
      <c r="M27" s="3">
        <f t="shared" si="15"/>
        <v>15000</v>
      </c>
      <c r="N27" s="3">
        <f t="shared" si="16"/>
        <v>30000</v>
      </c>
      <c r="O27" s="3">
        <f t="shared" si="17"/>
        <v>1244417.1563984586</v>
      </c>
      <c r="P27" s="3">
        <f t="shared" si="18"/>
        <v>7400</v>
      </c>
      <c r="Q27" s="3">
        <v>248182.84360154145</v>
      </c>
      <c r="R27" s="3">
        <f t="shared" si="19"/>
        <v>0</v>
      </c>
      <c r="S27" s="19"/>
      <c r="T27" s="10">
        <f t="shared" si="20"/>
        <v>625</v>
      </c>
      <c r="U27" s="16">
        <v>4000</v>
      </c>
      <c r="V27" s="5">
        <f t="shared" si="21"/>
        <v>3532.0236686390535</v>
      </c>
      <c r="W27" s="2">
        <f t="shared" si="22"/>
        <v>77.234375</v>
      </c>
      <c r="X27" s="10">
        <f>V27*T27/60/60*$S$14*10/(W27/100)/1000000*IF(V27&lt;$S$18,NA(),1)</f>
        <v>8.0188457421841068</v>
      </c>
      <c r="Y27" s="10"/>
      <c r="Z27" s="9">
        <v>11.8</v>
      </c>
      <c r="AA27">
        <f t="shared" si="4"/>
        <v>5.13</v>
      </c>
      <c r="AB27" s="10">
        <f t="shared" si="5"/>
        <v>8.0188457421841068</v>
      </c>
      <c r="AC27" s="11">
        <f t="shared" si="6"/>
        <v>5.5</v>
      </c>
      <c r="AD27" s="11">
        <f t="shared" si="23"/>
        <v>30.448845742184105</v>
      </c>
      <c r="AF27" s="5">
        <f t="shared" si="7"/>
        <v>7400</v>
      </c>
      <c r="AG27" s="5">
        <f t="shared" si="8"/>
        <v>50000</v>
      </c>
      <c r="AH27" s="5">
        <f t="shared" si="24"/>
        <v>190782.84360154145</v>
      </c>
      <c r="AI27" s="5">
        <f t="shared" si="25"/>
        <v>248182.84360154145</v>
      </c>
      <c r="AJ27" s="5">
        <f t="shared" si="26"/>
        <v>543.52042748737574</v>
      </c>
      <c r="AK27" s="5">
        <f t="shared" ref="AK27:AK36" si="29">AJ27*365.25+AK26</f>
        <v>586401.79716560454</v>
      </c>
      <c r="AL27" s="5"/>
      <c r="AM27">
        <f t="shared" si="9"/>
        <v>2022</v>
      </c>
      <c r="AN27" s="10">
        <f t="shared" si="27"/>
        <v>12.710699999999999</v>
      </c>
      <c r="AP27" s="5">
        <f t="shared" si="10"/>
        <v>50.796301634334185</v>
      </c>
      <c r="AQ27" s="14">
        <f t="shared" si="28"/>
        <v>8.075723630259807</v>
      </c>
      <c r="AR27" s="14">
        <f t="shared" si="11"/>
        <v>46.134500630618653</v>
      </c>
      <c r="AS27" s="14">
        <f t="shared" si="12"/>
        <v>7.3345787966007396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3"/>
        <v>9800</v>
      </c>
      <c r="K28" s="3">
        <f t="shared" si="2"/>
        <v>2540000</v>
      </c>
      <c r="L28" s="3">
        <f t="shared" si="14"/>
        <v>16000</v>
      </c>
      <c r="M28" s="3">
        <f t="shared" si="15"/>
        <v>17000</v>
      </c>
      <c r="N28" s="3">
        <f t="shared" si="16"/>
        <v>33000</v>
      </c>
      <c r="O28" s="3">
        <f t="shared" si="17"/>
        <v>1236628.1751692141</v>
      </c>
      <c r="P28" s="3">
        <f t="shared" si="18"/>
        <v>7600</v>
      </c>
      <c r="Q28" s="3">
        <v>255771.82483078574</v>
      </c>
      <c r="R28" s="3">
        <f t="shared" si="19"/>
        <v>0</v>
      </c>
      <c r="S28" s="19"/>
      <c r="T28" s="10">
        <f t="shared" si="20"/>
        <v>666.66666666666663</v>
      </c>
      <c r="U28" s="16">
        <v>4000</v>
      </c>
      <c r="V28" s="5">
        <f t="shared" si="21"/>
        <v>3464.3313609467459</v>
      </c>
      <c r="W28" s="2">
        <f t="shared" si="22"/>
        <v>78.25</v>
      </c>
      <c r="X28" s="10">
        <f t="shared" ref="X28:X36" si="30">V28*T28/60/60*$S$14*10/(W28/100)/1000000*IF(V28&lt;$S$18,NA(),1)</f>
        <v>8.2806169081912504</v>
      </c>
      <c r="Y28" s="10"/>
      <c r="Z28" s="9">
        <v>11.8</v>
      </c>
      <c r="AA28">
        <f t="shared" si="4"/>
        <v>5.5600000000000005</v>
      </c>
      <c r="AB28" s="10">
        <f t="shared" si="5"/>
        <v>8.2806169081912504</v>
      </c>
      <c r="AC28" s="11">
        <f t="shared" si="6"/>
        <v>6</v>
      </c>
      <c r="AD28" s="11">
        <f t="shared" si="23"/>
        <v>31.640616908191248</v>
      </c>
      <c r="AF28" s="5">
        <f t="shared" si="7"/>
        <v>7600</v>
      </c>
      <c r="AG28" s="5">
        <f t="shared" si="8"/>
        <v>50000</v>
      </c>
      <c r="AH28" s="5">
        <f t="shared" si="24"/>
        <v>198171.82483078574</v>
      </c>
      <c r="AI28" s="5">
        <f t="shared" si="25"/>
        <v>255771.82483078574</v>
      </c>
      <c r="AJ28" s="5">
        <f t="shared" si="26"/>
        <v>560.14029637942076</v>
      </c>
      <c r="AK28" s="5">
        <f t="shared" si="29"/>
        <v>790993.04041818797</v>
      </c>
      <c r="AL28" s="5"/>
      <c r="AM28">
        <f t="shared" si="9"/>
        <v>2023</v>
      </c>
      <c r="AN28" s="10">
        <f t="shared" si="27"/>
        <v>16.290150000000001</v>
      </c>
      <c r="AP28" s="5">
        <f t="shared" si="10"/>
        <v>57.157173099940898</v>
      </c>
      <c r="AQ28" s="14">
        <f t="shared" si="28"/>
        <v>9.0869909538856746</v>
      </c>
      <c r="AR28" s="14">
        <f t="shared" si="11"/>
        <v>48.556522832397981</v>
      </c>
      <c r="AS28" s="14">
        <f t="shared" si="12"/>
        <v>7.7196379701745599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3"/>
        <v>9900</v>
      </c>
      <c r="K29" s="3">
        <f t="shared" si="2"/>
        <v>2580000</v>
      </c>
      <c r="L29" s="3">
        <f t="shared" si="14"/>
        <v>14000</v>
      </c>
      <c r="M29" s="3">
        <f t="shared" si="15"/>
        <v>21000</v>
      </c>
      <c r="N29" s="3">
        <f t="shared" si="16"/>
        <v>35000</v>
      </c>
      <c r="O29" s="3">
        <f t="shared" si="17"/>
        <v>1335597.4767469019</v>
      </c>
      <c r="P29" s="3">
        <f t="shared" si="18"/>
        <v>7800</v>
      </c>
      <c r="Q29" s="3">
        <v>256602.5232530981</v>
      </c>
      <c r="R29" s="3">
        <f t="shared" si="19"/>
        <v>0</v>
      </c>
      <c r="S29" s="19"/>
      <c r="T29" s="10">
        <f t="shared" si="20"/>
        <v>583.33333333333337</v>
      </c>
      <c r="U29" s="16">
        <v>3214.1196729831181</v>
      </c>
      <c r="V29" s="5">
        <f>LinearInterpolation(T29/U29,$AE$6:$AE$11,$AF$6:$AF$11)*U29*U29</f>
        <v>2174.5820085846699</v>
      </c>
      <c r="W29" s="2">
        <f t="shared" si="22"/>
        <v>79.695358538785413</v>
      </c>
      <c r="X29" s="10">
        <f t="shared" si="30"/>
        <v>4.4655857034203565</v>
      </c>
      <c r="Y29" s="10"/>
      <c r="Z29" s="9">
        <v>11.8</v>
      </c>
      <c r="AA29">
        <f t="shared" si="4"/>
        <v>5.72</v>
      </c>
      <c r="AB29" s="10">
        <f t="shared" si="5"/>
        <v>4.4655857034203565</v>
      </c>
      <c r="AC29" s="11">
        <f t="shared" si="6"/>
        <v>9.7567567567567561</v>
      </c>
      <c r="AD29" s="11">
        <f t="shared" si="23"/>
        <v>31.742342460177113</v>
      </c>
      <c r="AF29" s="5">
        <f t="shared" si="7"/>
        <v>7800</v>
      </c>
      <c r="AG29" s="5">
        <f t="shared" si="8"/>
        <v>50000</v>
      </c>
      <c r="AH29" s="5">
        <f t="shared" si="24"/>
        <v>198802.5232530981</v>
      </c>
      <c r="AI29" s="5">
        <f t="shared" si="25"/>
        <v>256602.5232530981</v>
      </c>
      <c r="AJ29" s="5">
        <f t="shared" si="26"/>
        <v>561.95952592428478</v>
      </c>
      <c r="AK29" s="5">
        <f t="shared" si="29"/>
        <v>996248.75726203294</v>
      </c>
      <c r="AL29" s="5"/>
      <c r="AM29">
        <f t="shared" si="9"/>
        <v>2024</v>
      </c>
      <c r="AN29" s="10">
        <f t="shared" si="27"/>
        <v>19.906124999999999</v>
      </c>
      <c r="AP29" s="5">
        <f t="shared" si="10"/>
        <v>56.763588477200486</v>
      </c>
      <c r="AQ29" s="14">
        <f t="shared" si="28"/>
        <v>9.0244178819078673</v>
      </c>
      <c r="AR29" s="14">
        <f t="shared" si="11"/>
        <v>50.047347600903393</v>
      </c>
      <c r="AS29" s="14">
        <f t="shared" si="12"/>
        <v>7.9566530367096018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3"/>
        <v>10000</v>
      </c>
      <c r="K30" s="3">
        <f t="shared" si="2"/>
        <v>2710000</v>
      </c>
      <c r="L30" s="3">
        <f t="shared" si="14"/>
        <v>15000</v>
      </c>
      <c r="M30" s="3">
        <f t="shared" si="15"/>
        <v>21000</v>
      </c>
      <c r="N30" s="3">
        <f t="shared" si="16"/>
        <v>36000</v>
      </c>
      <c r="O30" s="3">
        <f t="shared" si="17"/>
        <v>1329293.9935702272</v>
      </c>
      <c r="P30" s="3">
        <f t="shared" si="18"/>
        <v>8000</v>
      </c>
      <c r="Q30" s="3">
        <v>262706.00642977282</v>
      </c>
      <c r="R30" s="3">
        <f t="shared" si="19"/>
        <v>0</v>
      </c>
      <c r="S30" s="19"/>
      <c r="T30" s="10">
        <f t="shared" si="20"/>
        <v>625</v>
      </c>
      <c r="U30" s="16">
        <v>3316.6550762204715</v>
      </c>
      <c r="V30" s="5">
        <f t="shared" si="21"/>
        <v>2274.1240507150924</v>
      </c>
      <c r="W30" s="2">
        <f t="shared" si="22"/>
        <v>79.628676830915254</v>
      </c>
      <c r="X30" s="10">
        <f t="shared" si="30"/>
        <v>5.0077604093356376</v>
      </c>
      <c r="Y30" s="10"/>
      <c r="Z30" s="9">
        <v>11.8</v>
      </c>
      <c r="AA30">
        <f t="shared" si="4"/>
        <v>6.13</v>
      </c>
      <c r="AB30" s="10">
        <f t="shared" si="5"/>
        <v>5.0077604093356376</v>
      </c>
      <c r="AC30" s="11">
        <f t="shared" si="6"/>
        <v>9.7567567567567561</v>
      </c>
      <c r="AD30" s="11">
        <f t="shared" si="23"/>
        <v>32.694517166092396</v>
      </c>
      <c r="AF30" s="5">
        <f t="shared" si="7"/>
        <v>8000</v>
      </c>
      <c r="AG30" s="5">
        <f t="shared" si="8"/>
        <v>50000</v>
      </c>
      <c r="AH30" s="5">
        <f t="shared" si="24"/>
        <v>204706.00642977285</v>
      </c>
      <c r="AI30" s="5">
        <f t="shared" si="25"/>
        <v>262706.00642977282</v>
      </c>
      <c r="AJ30" s="5">
        <f t="shared" si="26"/>
        <v>575.3261540812025</v>
      </c>
      <c r="AK30" s="5">
        <f t="shared" si="29"/>
        <v>1206386.6350401922</v>
      </c>
      <c r="AL30" s="5"/>
      <c r="AM30">
        <f t="shared" si="9"/>
        <v>2024</v>
      </c>
      <c r="AN30" s="10">
        <f t="shared" si="27"/>
        <v>23.558624999999999</v>
      </c>
      <c r="AP30" s="5">
        <f t="shared" si="10"/>
        <v>57.532615408120243</v>
      </c>
      <c r="AQ30" s="14">
        <f t="shared" si="28"/>
        <v>9.1466797151224544</v>
      </c>
      <c r="AR30" s="14">
        <f t="shared" si="11"/>
        <v>51.207854237681197</v>
      </c>
      <c r="AS30" s="14">
        <f t="shared" si="12"/>
        <v>8.141153296928648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3"/>
        <v>11100</v>
      </c>
      <c r="K31" s="3">
        <f t="shared" si="2"/>
        <v>2750000</v>
      </c>
      <c r="L31" s="3">
        <f t="shared" si="14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1428884.5198999885</v>
      </c>
      <c r="P31" s="3">
        <f t="shared" si="18"/>
        <v>8200</v>
      </c>
      <c r="Q31" s="3">
        <v>262915.48010001139</v>
      </c>
      <c r="R31" s="3">
        <f t="shared" si="19"/>
        <v>0</v>
      </c>
      <c r="S31" s="19"/>
      <c r="T31" s="10">
        <f t="shared" si="20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2"/>
        <v>74.004282858987835</v>
      </c>
      <c r="X31" s="10">
        <f t="shared" si="30"/>
        <v>5.5379370693130809</v>
      </c>
      <c r="Y31" s="10"/>
      <c r="Z31" s="9">
        <v>11.8</v>
      </c>
      <c r="AA31">
        <f t="shared" si="4"/>
        <v>6.25</v>
      </c>
      <c r="AB31" s="10">
        <f t="shared" si="5"/>
        <v>5.5379370693130809</v>
      </c>
      <c r="AC31" s="11">
        <f t="shared" si="6"/>
        <v>9.1081081081081088</v>
      </c>
      <c r="AD31" s="11">
        <f t="shared" si="23"/>
        <v>32.69604517742119</v>
      </c>
      <c r="AF31" s="5">
        <f t="shared" si="7"/>
        <v>8200</v>
      </c>
      <c r="AG31" s="5">
        <f t="shared" si="8"/>
        <v>50000</v>
      </c>
      <c r="AH31" s="5">
        <f t="shared" si="24"/>
        <v>204715.48010001139</v>
      </c>
      <c r="AI31" s="5">
        <f t="shared" si="25"/>
        <v>262915.48010001139</v>
      </c>
      <c r="AJ31" s="5">
        <f t="shared" si="26"/>
        <v>575.78490141902489</v>
      </c>
      <c r="AK31" s="5">
        <f t="shared" si="29"/>
        <v>1416692.0702834909</v>
      </c>
      <c r="AL31" s="5"/>
      <c r="AM31">
        <f t="shared" si="9"/>
        <v>2026</v>
      </c>
      <c r="AN31" s="10">
        <f t="shared" si="27"/>
        <v>27.6129</v>
      </c>
      <c r="AP31" s="5">
        <f t="shared" si="10"/>
        <v>51.872513641353599</v>
      </c>
      <c r="AQ31" s="14">
        <f t="shared" si="28"/>
        <v>8.2468225184981883</v>
      </c>
      <c r="AR31" s="14">
        <f t="shared" si="11"/>
        <v>51.305443118379124</v>
      </c>
      <c r="AS31" s="14">
        <f t="shared" si="12"/>
        <v>8.1566682223178262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3"/>
        <v>10500</v>
      </c>
      <c r="K32" s="3">
        <f t="shared" si="2"/>
        <v>2790000</v>
      </c>
      <c r="L32" s="3">
        <f t="shared" si="14"/>
        <v>15000</v>
      </c>
      <c r="M32" s="3">
        <f t="shared" si="15"/>
        <v>23000</v>
      </c>
      <c r="N32" s="3">
        <f t="shared" si="16"/>
        <v>38000</v>
      </c>
      <c r="O32" s="3">
        <f t="shared" si="17"/>
        <v>1813678.9559205044</v>
      </c>
      <c r="P32" s="3">
        <f t="shared" si="18"/>
        <v>9000</v>
      </c>
      <c r="Q32" s="3">
        <v>277321.04407949571</v>
      </c>
      <c r="R32" s="3">
        <f t="shared" si="19"/>
        <v>0</v>
      </c>
      <c r="S32" s="19"/>
      <c r="T32" s="10">
        <f t="shared" si="20"/>
        <v>625</v>
      </c>
      <c r="U32" s="16">
        <v>3685.6717811091703</v>
      </c>
      <c r="V32" s="5">
        <f t="shared" si="21"/>
        <v>2925.2061845254912</v>
      </c>
      <c r="W32" s="2">
        <f t="shared" si="22"/>
        <v>78.533620902526863</v>
      </c>
      <c r="X32" s="10">
        <f t="shared" si="30"/>
        <v>6.5313017913746334</v>
      </c>
      <c r="Y32" s="10"/>
      <c r="Z32" s="9">
        <v>11.8</v>
      </c>
      <c r="AA32">
        <f t="shared" si="4"/>
        <v>6.37</v>
      </c>
      <c r="AB32" s="10">
        <f t="shared" si="5"/>
        <v>6.5313017913746334</v>
      </c>
      <c r="AC32" s="11">
        <f t="shared" si="6"/>
        <v>10.189189189189189</v>
      </c>
      <c r="AD32" s="11">
        <f t="shared" si="23"/>
        <v>34.890490980563825</v>
      </c>
      <c r="AF32" s="5">
        <f t="shared" si="7"/>
        <v>9000</v>
      </c>
      <c r="AG32" s="5">
        <f t="shared" si="8"/>
        <v>50000</v>
      </c>
      <c r="AH32" s="5">
        <f t="shared" si="24"/>
        <v>218321.04407949571</v>
      </c>
      <c r="AI32" s="5">
        <f t="shared" si="25"/>
        <v>277321.04407949571</v>
      </c>
      <c r="AJ32" s="5">
        <f t="shared" si="26"/>
        <v>607.33308653409563</v>
      </c>
      <c r="AK32" s="5">
        <f t="shared" si="29"/>
        <v>1638520.4801400693</v>
      </c>
      <c r="AL32" s="5"/>
      <c r="AM32">
        <f t="shared" si="9"/>
        <v>2027</v>
      </c>
      <c r="AN32" s="10">
        <f t="shared" si="27"/>
        <v>31.448025000000001</v>
      </c>
      <c r="AP32" s="5">
        <f t="shared" si="10"/>
        <v>57.841246336580532</v>
      </c>
      <c r="AQ32" s="14">
        <f t="shared" si="28"/>
        <v>9.1957466353864117</v>
      </c>
      <c r="AR32" s="14">
        <f t="shared" si="11"/>
        <v>52.102492291330513</v>
      </c>
      <c r="AS32" s="14">
        <f t="shared" si="12"/>
        <v>8.2833851019603362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3"/>
        <v>9500</v>
      </c>
      <c r="K33" s="3">
        <f t="shared" si="2"/>
        <v>2830000</v>
      </c>
      <c r="L33" s="3">
        <f t="shared" si="14"/>
        <v>12000</v>
      </c>
      <c r="M33" s="3">
        <f t="shared" si="15"/>
        <v>21000</v>
      </c>
      <c r="N33" s="3">
        <f t="shared" si="16"/>
        <v>33000</v>
      </c>
      <c r="O33" s="3">
        <f t="shared" si="17"/>
        <v>836669.48215895845</v>
      </c>
      <c r="P33" s="3">
        <f t="shared" si="18"/>
        <v>7000</v>
      </c>
      <c r="Q33" s="3">
        <v>256330.51784104155</v>
      </c>
      <c r="R33" s="3">
        <f t="shared" si="19"/>
        <v>0</v>
      </c>
      <c r="S33" s="19"/>
      <c r="T33" s="10">
        <f t="shared" si="20"/>
        <v>500</v>
      </c>
      <c r="U33" s="16">
        <v>3086.0958611163078</v>
      </c>
      <c r="V33" s="5">
        <f t="shared" si="21"/>
        <v>2080.1264232171488</v>
      </c>
      <c r="W33" s="2">
        <f t="shared" si="22"/>
        <v>77.796657717030882</v>
      </c>
      <c r="X33" s="10">
        <f t="shared" si="30"/>
        <v>3.7507461208305912</v>
      </c>
      <c r="Y33" s="10"/>
      <c r="Z33" s="9">
        <v>11.8</v>
      </c>
      <c r="AA33">
        <f t="shared" si="4"/>
        <v>6.5200000000000005</v>
      </c>
      <c r="AB33" s="10">
        <f t="shared" si="5"/>
        <v>3.7507461208305912</v>
      </c>
      <c r="AC33" s="11">
        <f t="shared" si="6"/>
        <v>9.7567567567567561</v>
      </c>
      <c r="AD33" s="11">
        <f t="shared" si="23"/>
        <v>31.827502877587349</v>
      </c>
      <c r="AF33" s="5">
        <f t="shared" si="7"/>
        <v>7000</v>
      </c>
      <c r="AG33" s="5">
        <f t="shared" si="8"/>
        <v>50000</v>
      </c>
      <c r="AH33" s="5">
        <f t="shared" si="24"/>
        <v>199330.51784104155</v>
      </c>
      <c r="AI33" s="5">
        <f t="shared" si="25"/>
        <v>256330.51784104155</v>
      </c>
      <c r="AJ33" s="5">
        <f t="shared" si="26"/>
        <v>561.363834071881</v>
      </c>
      <c r="AK33" s="5">
        <f t="shared" si="29"/>
        <v>1843558.6205348237</v>
      </c>
      <c r="AL33" s="5"/>
      <c r="AM33">
        <f t="shared" si="9"/>
        <v>2028</v>
      </c>
      <c r="AN33" s="10">
        <f t="shared" si="27"/>
        <v>34.917900000000003</v>
      </c>
      <c r="AP33" s="5">
        <f t="shared" si="10"/>
        <v>59.090929902303266</v>
      </c>
      <c r="AQ33" s="14">
        <f t="shared" si="28"/>
        <v>9.3944244677747637</v>
      </c>
      <c r="AR33" s="14">
        <f t="shared" si="11"/>
        <v>52.796950003717967</v>
      </c>
      <c r="AS33" s="14">
        <f t="shared" si="12"/>
        <v>8.3937917335004713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3"/>
        <v>7500</v>
      </c>
      <c r="K34" s="3">
        <f t="shared" si="2"/>
        <v>2860000</v>
      </c>
      <c r="L34" s="3">
        <f t="shared" si="14"/>
        <v>14000</v>
      </c>
      <c r="M34" s="3">
        <f t="shared" si="15"/>
        <v>22000</v>
      </c>
      <c r="N34" s="3">
        <f t="shared" si="16"/>
        <v>36000</v>
      </c>
      <c r="O34" s="3">
        <f t="shared" si="17"/>
        <v>0</v>
      </c>
      <c r="P34" s="3">
        <f t="shared" si="18"/>
        <v>5000</v>
      </c>
      <c r="Q34" s="3">
        <v>213166.87255139381</v>
      </c>
      <c r="R34" s="3">
        <f t="shared" si="19"/>
        <v>0</v>
      </c>
      <c r="S34" s="19"/>
      <c r="T34" s="10">
        <f t="shared" si="20"/>
        <v>583.33333333333337</v>
      </c>
      <c r="U34" s="16">
        <v>3316.6550762204715</v>
      </c>
      <c r="V34" s="5">
        <f t="shared" si="21"/>
        <v>2340.608166381498</v>
      </c>
      <c r="W34" s="2">
        <f t="shared" si="22"/>
        <v>79.148301132601489</v>
      </c>
      <c r="X34" s="10">
        <f t="shared" si="30"/>
        <v>4.8397484062840945</v>
      </c>
      <c r="Y34" s="10"/>
      <c r="Z34" s="9">
        <v>11.8</v>
      </c>
      <c r="AA34">
        <f t="shared" si="4"/>
        <v>6.64</v>
      </c>
      <c r="AB34" s="10">
        <f t="shared" si="5"/>
        <v>4.8397484062840945</v>
      </c>
      <c r="AC34" s="11">
        <f t="shared" si="6"/>
        <v>9.9729729729729737</v>
      </c>
      <c r="AD34" s="11">
        <f t="shared" si="23"/>
        <v>33.252721379257068</v>
      </c>
      <c r="AF34" s="5">
        <f t="shared" si="7"/>
        <v>5000</v>
      </c>
      <c r="AG34" s="5">
        <f t="shared" si="8"/>
        <v>0</v>
      </c>
      <c r="AH34" s="5">
        <f t="shared" si="24"/>
        <v>208166.87255139381</v>
      </c>
      <c r="AI34" s="5">
        <f t="shared" si="25"/>
        <v>213166.87255139381</v>
      </c>
      <c r="AJ34" s="5">
        <f t="shared" si="26"/>
        <v>466.83545088755244</v>
      </c>
      <c r="AK34" s="5">
        <f t="shared" si="29"/>
        <v>2014070.2689715023</v>
      </c>
      <c r="AL34" s="5"/>
      <c r="AM34">
        <f t="shared" si="9"/>
        <v>2029</v>
      </c>
      <c r="AN34" s="10">
        <f t="shared" si="27"/>
        <v>37.657275000000006</v>
      </c>
      <c r="AP34" s="5">
        <f t="shared" si="10"/>
        <v>62.244726785006996</v>
      </c>
      <c r="AQ34" s="14">
        <f t="shared" si="28"/>
        <v>9.8958230182841014</v>
      </c>
      <c r="AR34" s="14">
        <f t="shared" si="11"/>
        <v>53.484227655121138</v>
      </c>
      <c r="AS34" s="14">
        <f t="shared" si="12"/>
        <v>8.5030568609095614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3"/>
        <v>8000</v>
      </c>
      <c r="K35" s="3">
        <f t="shared" si="2"/>
        <v>2900000</v>
      </c>
      <c r="L35" s="3">
        <f t="shared" si="14"/>
        <v>16000</v>
      </c>
      <c r="M35" s="3">
        <f t="shared" si="15"/>
        <v>19000</v>
      </c>
      <c r="N35" s="3">
        <f t="shared" si="16"/>
        <v>35000</v>
      </c>
      <c r="O35" s="3">
        <f t="shared" si="17"/>
        <v>0</v>
      </c>
      <c r="P35" s="3">
        <f t="shared" si="18"/>
        <v>4000</v>
      </c>
      <c r="Q35" s="3">
        <v>209060.22777090949</v>
      </c>
      <c r="R35" s="3">
        <f t="shared" si="19"/>
        <v>0</v>
      </c>
      <c r="S35" s="19"/>
      <c r="T35" s="10">
        <f t="shared" si="20"/>
        <v>666.66666666666663</v>
      </c>
      <c r="U35" s="16">
        <v>3214.1196729831181</v>
      </c>
      <c r="V35" s="5">
        <f t="shared" si="21"/>
        <v>2002.3452897765856</v>
      </c>
      <c r="W35" s="2">
        <f t="shared" si="22"/>
        <v>77.581829604962664</v>
      </c>
      <c r="X35" s="10">
        <f t="shared" si="30"/>
        <v>4.8273253161449476</v>
      </c>
      <c r="Y35" s="10"/>
      <c r="Z35" s="9">
        <v>11.8</v>
      </c>
      <c r="AA35">
        <f t="shared" si="4"/>
        <v>6.8</v>
      </c>
      <c r="AB35" s="10">
        <f t="shared" si="5"/>
        <v>4.8273253161449476</v>
      </c>
      <c r="AC35" s="11">
        <f t="shared" si="6"/>
        <v>9.3243243243243246</v>
      </c>
      <c r="AD35" s="11">
        <f t="shared" si="23"/>
        <v>32.751649640469275</v>
      </c>
      <c r="AF35" s="5">
        <f t="shared" si="7"/>
        <v>4000</v>
      </c>
      <c r="AG35" s="5">
        <f t="shared" si="8"/>
        <v>0</v>
      </c>
      <c r="AH35" s="5">
        <f t="shared" si="24"/>
        <v>205060.22777090949</v>
      </c>
      <c r="AI35" s="5">
        <f t="shared" si="25"/>
        <v>209060.22777090949</v>
      </c>
      <c r="AJ35" s="5">
        <f t="shared" si="26"/>
        <v>457.84189881829178</v>
      </c>
      <c r="AK35" s="5">
        <f t="shared" si="29"/>
        <v>2181297.0225148834</v>
      </c>
      <c r="AL35" s="5"/>
      <c r="AM35">
        <f t="shared" si="9"/>
        <v>2030</v>
      </c>
      <c r="AN35" s="10">
        <f t="shared" si="27"/>
        <v>40.579275000000003</v>
      </c>
      <c r="AP35" s="5">
        <f t="shared" si="10"/>
        <v>57.230237352286473</v>
      </c>
      <c r="AQ35" s="14">
        <f t="shared" si="28"/>
        <v>9.0986068922554004</v>
      </c>
      <c r="AR35" s="14">
        <f t="shared" si="11"/>
        <v>53.753967327284272</v>
      </c>
      <c r="AS35" s="14">
        <f t="shared" si="12"/>
        <v>8.5459407515555288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3"/>
        <v>7000</v>
      </c>
      <c r="K36" s="3">
        <f t="shared" si="2"/>
        <v>2930000</v>
      </c>
      <c r="L36" s="3">
        <f t="shared" si="14"/>
        <v>14000</v>
      </c>
      <c r="M36" s="3">
        <f t="shared" si="15"/>
        <v>19000</v>
      </c>
      <c r="N36" s="3">
        <f t="shared" si="16"/>
        <v>33000</v>
      </c>
      <c r="O36" s="3">
        <f t="shared" si="17"/>
        <v>337249.83820109192</v>
      </c>
      <c r="P36" s="3">
        <f t="shared" si="18"/>
        <v>6000</v>
      </c>
      <c r="Q36" s="3">
        <v>256750.16179890808</v>
      </c>
      <c r="R36" s="3">
        <f t="shared" si="19"/>
        <v>0</v>
      </c>
      <c r="S36" s="19"/>
      <c r="T36" s="10">
        <f t="shared" si="20"/>
        <v>583.33333333333337</v>
      </c>
      <c r="U36" s="16">
        <v>3086.0958611163078</v>
      </c>
      <c r="V36" s="5">
        <f t="shared" si="21"/>
        <v>1965.3560068576528</v>
      </c>
      <c r="W36" s="2">
        <f t="shared" si="22"/>
        <v>79.572702484375426</v>
      </c>
      <c r="X36" s="10">
        <f t="shared" si="30"/>
        <v>4.0421533851769738</v>
      </c>
      <c r="Y36" s="10"/>
      <c r="Z36" s="9">
        <v>11.8</v>
      </c>
      <c r="AA36">
        <f t="shared" si="4"/>
        <v>6.89</v>
      </c>
      <c r="AB36" s="10">
        <f t="shared" si="5"/>
        <v>4.0421533851769738</v>
      </c>
      <c r="AC36" s="11">
        <f t="shared" si="6"/>
        <v>9.3243243243243246</v>
      </c>
      <c r="AD36" s="11">
        <f t="shared" si="23"/>
        <v>32.056477709501301</v>
      </c>
      <c r="AF36" s="5">
        <f t="shared" si="7"/>
        <v>6000</v>
      </c>
      <c r="AG36" s="5">
        <f t="shared" si="8"/>
        <v>50000</v>
      </c>
      <c r="AH36" s="5">
        <f t="shared" si="24"/>
        <v>200750.16179890808</v>
      </c>
      <c r="AI36" s="5">
        <f t="shared" si="25"/>
        <v>256750.16179890808</v>
      </c>
      <c r="AJ36" s="5">
        <f t="shared" si="26"/>
        <v>562.28285433960866</v>
      </c>
      <c r="AK36" s="5">
        <f t="shared" si="29"/>
        <v>2386670.8350624256</v>
      </c>
      <c r="AL36" s="5"/>
      <c r="AM36">
        <f t="shared" si="9"/>
        <v>2031</v>
      </c>
      <c r="AN36" s="10">
        <f t="shared" si="27"/>
        <v>43.136025000000004</v>
      </c>
      <c r="AP36" s="5">
        <f t="shared" si="10"/>
        <v>80.326122048515529</v>
      </c>
      <c r="AQ36" s="14">
        <f t="shared" si="28"/>
        <v>12.770448656361769</v>
      </c>
      <c r="AR36" s="14">
        <f t="shared" si="11"/>
        <v>55.328946861988918</v>
      </c>
      <c r="AS36" s="14">
        <f t="shared" si="12"/>
        <v>8.7963349542112752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5.9924999999999997</v>
      </c>
      <c r="AB38" s="11">
        <f t="shared" si="31"/>
        <v>5.8291110226719738</v>
      </c>
      <c r="AC38" s="11">
        <f t="shared" si="31"/>
        <v>8.3074324324324333</v>
      </c>
      <c r="AD38" s="11">
        <f t="shared" si="31"/>
        <v>31.929043455104406</v>
      </c>
      <c r="AF38" s="2">
        <f t="shared" ref="AF38:AI38" si="32">AVERAGE(AF25:AF36)</f>
        <v>7016.666666666667</v>
      </c>
      <c r="AG38" s="2">
        <f t="shared" si="32"/>
        <v>41666.666666666664</v>
      </c>
      <c r="AH38" s="2">
        <f t="shared" si="32"/>
        <v>199960.06942164732</v>
      </c>
      <c r="AI38" s="2">
        <f t="shared" si="32"/>
        <v>248643.40275498063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1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AAED6-BA2A-40E3-9E77-BE0451B8A463}">
  <sheetPr codeName="Sheet13">
    <tabColor rgb="FFFF0000"/>
  </sheetPr>
  <dimension ref="A1:AZ50"/>
  <sheetViews>
    <sheetView topLeftCell="AH7" zoomScaleNormal="100" workbookViewId="0">
      <selection activeCell="BC23" sqref="BC23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99999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1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v>0</v>
      </c>
      <c r="M25" s="3">
        <f>E25-L25</f>
        <v>34000</v>
      </c>
      <c r="N25" s="3">
        <f>L25+M25</f>
        <v>34000</v>
      </c>
      <c r="O25" s="3">
        <f>MAX(C25-F25-P25-Q25,0)</f>
        <v>1052603.0810810812</v>
      </c>
      <c r="P25" s="3">
        <f>C25*$P$22</f>
        <v>7000</v>
      </c>
      <c r="Q25" s="3">
        <v>240396.91891891893</v>
      </c>
      <c r="R25" s="3">
        <f>Q25-AI25</f>
        <v>0</v>
      </c>
      <c r="S25" s="19"/>
      <c r="T25" s="10">
        <f>L25/24</f>
        <v>0</v>
      </c>
      <c r="U25" s="16">
        <v>3149.0007940104929</v>
      </c>
      <c r="V25" s="5" t="e">
        <f>LinearInterpolation(T25/U25,$AE$6:$AE$11,$AF$6:$AF$11)*U25*U25</f>
        <v>#N/A</v>
      </c>
      <c r="W25" s="2" t="e">
        <f>LinearInterpolation(T25/U25,$AE$6:$AE$11,$AC$6:$AC$11)</f>
        <v>#N/A</v>
      </c>
      <c r="X25" s="10" t="e">
        <f t="shared" ref="X25:X26" si="3">V25*T25/60/60*$S$14*10/(W25/100)/1000000*IF(V25&lt;$S$18,NA(),1)</f>
        <v>#N/A</v>
      </c>
      <c r="Z25" s="9">
        <v>11.8</v>
      </c>
      <c r="AA25">
        <f t="shared" ref="AA25:AA36" si="4">LinearInterpolation(K25,$A$5:$A$19,$B$5:$B$19)</f>
        <v>4.8899999999999997</v>
      </c>
      <c r="AB25" s="23">
        <v>0</v>
      </c>
      <c r="AC25" s="11">
        <f>LinearInterpolation(M25,$P$5:$P$11,$Q$5:$Q$11)</f>
        <v>12.567567567567568</v>
      </c>
      <c r="AD25" s="11">
        <f>SUM(Z25:AC25)</f>
        <v>29.25756756756757</v>
      </c>
      <c r="AF25" s="5">
        <f t="shared" ref="AF25:AF36" si="5">P25</f>
        <v>7000</v>
      </c>
      <c r="AG25" s="5">
        <f t="shared" ref="AG25:AG36" si="6">LinearInterpolation(O25,$D$5:$D$9,$E$5:$E$9)</f>
        <v>50000</v>
      </c>
      <c r="AH25" s="5">
        <f>LinearInterpolation(AD25,$H$5:$H$10,$I$5:$I$10)</f>
        <v>183396.91891891893</v>
      </c>
      <c r="AI25" s="5">
        <f>SUM(AF25:AH25)</f>
        <v>240396.91891891893</v>
      </c>
      <c r="AJ25" s="5">
        <f>$AG$18*AI25/1000</f>
        <v>526.46925243243254</v>
      </c>
      <c r="AK25" s="5">
        <f>AJ25*365.25</f>
        <v>192292.89445094598</v>
      </c>
      <c r="AL25" s="5"/>
      <c r="AM25">
        <f t="shared" ref="AM25:AM36" si="7">YEAR(A25)</f>
        <v>2020</v>
      </c>
      <c r="AN25" s="10">
        <f>J25*0.00036525</f>
        <v>4.5656249999999998</v>
      </c>
      <c r="AP25" s="5">
        <f t="shared" ref="AP25:AP36" si="8">AJ25*1000/J25</f>
        <v>42.117540194594596</v>
      </c>
      <c r="AQ25" s="14">
        <f>AP25/6.29</f>
        <v>6.6959523361835602</v>
      </c>
      <c r="AR25" s="14">
        <f t="shared" ref="AR25:AR36" si="9">AK25/AN25/1000</f>
        <v>42.117540194594604</v>
      </c>
      <c r="AS25" s="14">
        <f t="shared" ref="AS25:AS36" si="10">AR25/6.29</f>
        <v>6.695952336183562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1">B26+C26/1000</f>
        <v>11600</v>
      </c>
      <c r="K26" s="3">
        <f t="shared" si="2"/>
        <v>2370000</v>
      </c>
      <c r="L26" s="3">
        <v>0</v>
      </c>
      <c r="M26" s="3">
        <f t="shared" ref="M26:M36" si="12">E26-L26</f>
        <v>33000</v>
      </c>
      <c r="N26" s="3">
        <f t="shared" ref="N26:N36" si="13">L26+M26</f>
        <v>33000</v>
      </c>
      <c r="O26" s="3">
        <f t="shared" ref="O26:O36" si="14">MAX(C26-F26-P26-Q26,0)</f>
        <v>1152799.6216216215</v>
      </c>
      <c r="P26" s="3">
        <f t="shared" ref="P26:P36" si="15">C26*$P$22</f>
        <v>7200</v>
      </c>
      <c r="Q26" s="3">
        <v>240000.3783783784</v>
      </c>
      <c r="R26" s="3">
        <f t="shared" ref="R26:R36" si="16">Q26-AI26</f>
        <v>0</v>
      </c>
      <c r="S26" s="19"/>
      <c r="T26" s="10">
        <f t="shared" ref="T26:T36" si="17">L26/24</f>
        <v>0</v>
      </c>
      <c r="U26" s="16">
        <v>3086.0958611163078</v>
      </c>
      <c r="V26" s="5" t="e">
        <f t="shared" ref="V26:V36" si="18">LinearInterpolation(T26/U26,$AE$6:$AE$11,$AF$6:$AF$11)*U26*U26</f>
        <v>#N/A</v>
      </c>
      <c r="W26" s="2" t="e">
        <f t="shared" ref="W26:W36" si="19">LinearInterpolation(T26/U26,$AE$6:$AE$11,$AC$6:$AC$11)</f>
        <v>#N/A</v>
      </c>
      <c r="X26" s="10" t="e">
        <f t="shared" si="3"/>
        <v>#N/A</v>
      </c>
      <c r="Z26" s="9">
        <v>11.8</v>
      </c>
      <c r="AA26">
        <f t="shared" si="4"/>
        <v>5.01</v>
      </c>
      <c r="AB26" s="23">
        <v>0</v>
      </c>
      <c r="AC26" s="11">
        <f t="shared" ref="AC25:AC31" si="20">LinearInterpolation(M26,$P$5:$P$11,$Q$5:$Q$11)</f>
        <v>12.351351351351351</v>
      </c>
      <c r="AD26" s="11">
        <f t="shared" ref="AD26:AD36" si="21">SUM(Z26:AC26)</f>
        <v>29.161351351351353</v>
      </c>
      <c r="AF26" s="5">
        <f t="shared" si="5"/>
        <v>7200</v>
      </c>
      <c r="AG26" s="5">
        <f t="shared" si="6"/>
        <v>50000</v>
      </c>
      <c r="AH26" s="5">
        <f t="shared" ref="AH26:AH36" si="22">LinearInterpolation(AD26,$H$5:$H$10,$I$5:$I$10)</f>
        <v>182800.3783783784</v>
      </c>
      <c r="AI26" s="5">
        <f t="shared" ref="AI26:AI36" si="23">SUM(AF26:AH26)</f>
        <v>240000.3783783784</v>
      </c>
      <c r="AJ26" s="5">
        <f t="shared" ref="AJ26:AJ36" si="24">$AG$18*AI26/1000</f>
        <v>525.60082864864864</v>
      </c>
      <c r="AK26" s="5">
        <f>AJ26*365.25+AK25</f>
        <v>384268.59711486491</v>
      </c>
      <c r="AL26" s="5"/>
      <c r="AM26">
        <f t="shared" si="7"/>
        <v>2021</v>
      </c>
      <c r="AN26" s="10">
        <f t="shared" ref="AN26:AN36" si="25">J26*0.00036525+AN25</f>
        <v>8.8025249999999993</v>
      </c>
      <c r="AP26" s="5">
        <f t="shared" si="8"/>
        <v>45.310416262814542</v>
      </c>
      <c r="AQ26" s="14">
        <f t="shared" ref="AQ26:AQ36" si="26">AP26/6.29</f>
        <v>7.2035637937701971</v>
      </c>
      <c r="AR26" s="14">
        <f t="shared" si="9"/>
        <v>43.654360210833246</v>
      </c>
      <c r="AS26" s="14">
        <f t="shared" si="10"/>
        <v>6.9402798427397849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1"/>
        <v>10700</v>
      </c>
      <c r="K27" s="3">
        <f t="shared" si="2"/>
        <v>2410000</v>
      </c>
      <c r="L27" s="3">
        <v>0</v>
      </c>
      <c r="M27" s="3">
        <f t="shared" si="12"/>
        <v>30000</v>
      </c>
      <c r="N27" s="3">
        <f t="shared" si="13"/>
        <v>30000</v>
      </c>
      <c r="O27" s="3">
        <f t="shared" si="14"/>
        <v>1255677.2432432433</v>
      </c>
      <c r="P27" s="3">
        <f t="shared" si="15"/>
        <v>7400</v>
      </c>
      <c r="Q27" s="3">
        <v>236922.75675675675</v>
      </c>
      <c r="R27" s="3">
        <f t="shared" si="16"/>
        <v>0</v>
      </c>
      <c r="S27" s="19"/>
      <c r="T27" s="10">
        <f t="shared" si="17"/>
        <v>0</v>
      </c>
      <c r="U27" s="16">
        <v>2955.1311952574533</v>
      </c>
      <c r="V27" s="5" t="e">
        <f t="shared" si="18"/>
        <v>#N/A</v>
      </c>
      <c r="W27" s="2" t="e">
        <f t="shared" si="19"/>
        <v>#N/A</v>
      </c>
      <c r="X27" s="10" t="e">
        <f>V27*T27/60/60*$S$14*10/(W27/100)/1000000*IF(V27&lt;$S$18,NA(),1)</f>
        <v>#N/A</v>
      </c>
      <c r="Y27" s="10"/>
      <c r="Z27" s="9">
        <v>11.8</v>
      </c>
      <c r="AA27">
        <f t="shared" si="4"/>
        <v>5.13</v>
      </c>
      <c r="AB27" s="23">
        <v>0</v>
      </c>
      <c r="AC27" s="11">
        <f t="shared" si="20"/>
        <v>11.702702702702702</v>
      </c>
      <c r="AD27" s="11">
        <f t="shared" si="21"/>
        <v>28.632702702702701</v>
      </c>
      <c r="AF27" s="5">
        <f t="shared" si="5"/>
        <v>7400</v>
      </c>
      <c r="AG27" s="5">
        <f t="shared" si="6"/>
        <v>50000</v>
      </c>
      <c r="AH27" s="5">
        <f t="shared" si="22"/>
        <v>179522.75675675675</v>
      </c>
      <c r="AI27" s="5">
        <f t="shared" si="23"/>
        <v>236922.75675675675</v>
      </c>
      <c r="AJ27" s="5">
        <f t="shared" si="24"/>
        <v>518.86083729729728</v>
      </c>
      <c r="AK27" s="5">
        <f t="shared" ref="AK27:AK36" si="27">AJ27*365.25+AK26</f>
        <v>573782.51793770271</v>
      </c>
      <c r="AL27" s="5"/>
      <c r="AM27">
        <f t="shared" si="7"/>
        <v>2022</v>
      </c>
      <c r="AN27" s="10">
        <f t="shared" si="25"/>
        <v>12.710699999999999</v>
      </c>
      <c r="AP27" s="5">
        <f t="shared" si="8"/>
        <v>48.491667037130583</v>
      </c>
      <c r="AQ27" s="14">
        <f t="shared" si="26"/>
        <v>7.7093270329301404</v>
      </c>
      <c r="AR27" s="14">
        <f t="shared" si="9"/>
        <v>45.141693056849959</v>
      </c>
      <c r="AS27" s="14">
        <f t="shared" si="10"/>
        <v>7.17673975466613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1"/>
        <v>9800</v>
      </c>
      <c r="K28" s="3">
        <f t="shared" si="2"/>
        <v>2540000</v>
      </c>
      <c r="L28" s="3">
        <v>0</v>
      </c>
      <c r="M28" s="3">
        <f t="shared" si="12"/>
        <v>33000</v>
      </c>
      <c r="N28" s="3">
        <f t="shared" si="13"/>
        <v>33000</v>
      </c>
      <c r="O28" s="3">
        <f t="shared" si="14"/>
        <v>1248589.6216216215</v>
      </c>
      <c r="P28" s="3">
        <f t="shared" si="15"/>
        <v>7600</v>
      </c>
      <c r="Q28" s="3">
        <v>243810.37837837837</v>
      </c>
      <c r="R28" s="3">
        <f t="shared" si="16"/>
        <v>0</v>
      </c>
      <c r="S28" s="19"/>
      <c r="T28" s="10">
        <f t="shared" si="17"/>
        <v>0</v>
      </c>
      <c r="U28" s="16">
        <v>3086.0958611163078</v>
      </c>
      <c r="V28" s="5" t="e">
        <f t="shared" si="18"/>
        <v>#N/A</v>
      </c>
      <c r="W28" s="2" t="e">
        <f t="shared" si="19"/>
        <v>#N/A</v>
      </c>
      <c r="X28" s="10" t="e">
        <f t="shared" ref="X28:X36" si="28">V28*T28/60/60*$S$14*10/(W28/100)/1000000*IF(V28&lt;$S$18,NA(),1)</f>
        <v>#N/A</v>
      </c>
      <c r="Y28" s="10"/>
      <c r="Z28" s="9">
        <v>11.8</v>
      </c>
      <c r="AA28">
        <f t="shared" si="4"/>
        <v>5.5600000000000005</v>
      </c>
      <c r="AB28" s="23">
        <v>0</v>
      </c>
      <c r="AC28" s="11">
        <f t="shared" si="20"/>
        <v>12.351351351351351</v>
      </c>
      <c r="AD28" s="11">
        <f t="shared" si="21"/>
        <v>29.71135135135135</v>
      </c>
      <c r="AF28" s="5">
        <f t="shared" si="5"/>
        <v>7600</v>
      </c>
      <c r="AG28" s="5">
        <f t="shared" si="6"/>
        <v>50000</v>
      </c>
      <c r="AH28" s="5">
        <f t="shared" si="22"/>
        <v>186210.37837837837</v>
      </c>
      <c r="AI28" s="5">
        <f t="shared" si="23"/>
        <v>243810.37837837837</v>
      </c>
      <c r="AJ28" s="5">
        <f t="shared" si="24"/>
        <v>533.94472864864861</v>
      </c>
      <c r="AK28" s="5">
        <f t="shared" si="27"/>
        <v>768805.83007662161</v>
      </c>
      <c r="AL28" s="5"/>
      <c r="AM28">
        <f t="shared" si="7"/>
        <v>2023</v>
      </c>
      <c r="AN28" s="10">
        <f t="shared" si="25"/>
        <v>16.290150000000001</v>
      </c>
      <c r="AP28" s="5">
        <f t="shared" si="8"/>
        <v>54.484155984555983</v>
      </c>
      <c r="AQ28" s="14">
        <f t="shared" si="26"/>
        <v>8.6620279784667691</v>
      </c>
      <c r="AR28" s="14">
        <f t="shared" si="9"/>
        <v>47.194521233789843</v>
      </c>
      <c r="AS28" s="14">
        <f t="shared" si="10"/>
        <v>7.5031035347837589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1"/>
        <v>9900</v>
      </c>
      <c r="K29" s="3">
        <f t="shared" si="2"/>
        <v>2580000</v>
      </c>
      <c r="L29" s="3">
        <v>0</v>
      </c>
      <c r="M29" s="3">
        <f t="shared" si="12"/>
        <v>35000</v>
      </c>
      <c r="N29" s="3">
        <f t="shared" si="13"/>
        <v>35000</v>
      </c>
      <c r="O29" s="3">
        <f t="shared" si="14"/>
        <v>1344516.5405405406</v>
      </c>
      <c r="P29" s="3">
        <f t="shared" si="15"/>
        <v>7800</v>
      </c>
      <c r="Q29" s="3">
        <v>247683.45945945947</v>
      </c>
      <c r="R29" s="3">
        <f t="shared" si="16"/>
        <v>0</v>
      </c>
      <c r="S29" s="19"/>
      <c r="T29" s="10">
        <f t="shared" si="17"/>
        <v>0</v>
      </c>
      <c r="U29" s="16">
        <v>3214.1196729831181</v>
      </c>
      <c r="V29" s="5" t="e">
        <f>LinearInterpolation(T29/U29,$AE$6:$AE$11,$AF$6:$AF$11)*U29*U29</f>
        <v>#N/A</v>
      </c>
      <c r="W29" s="2" t="e">
        <f t="shared" si="19"/>
        <v>#N/A</v>
      </c>
      <c r="X29" s="10" t="e">
        <f t="shared" si="28"/>
        <v>#N/A</v>
      </c>
      <c r="Y29" s="10"/>
      <c r="Z29" s="9">
        <v>11.8</v>
      </c>
      <c r="AA29">
        <f t="shared" si="4"/>
        <v>5.72</v>
      </c>
      <c r="AB29" s="23">
        <v>0</v>
      </c>
      <c r="AC29" s="11">
        <f t="shared" si="20"/>
        <v>12.783783783783784</v>
      </c>
      <c r="AD29" s="11">
        <f t="shared" si="21"/>
        <v>30.303783783783786</v>
      </c>
      <c r="AF29" s="5">
        <f t="shared" si="5"/>
        <v>7800</v>
      </c>
      <c r="AG29" s="5">
        <f t="shared" si="6"/>
        <v>50000</v>
      </c>
      <c r="AH29" s="5">
        <f t="shared" si="22"/>
        <v>189883.45945945947</v>
      </c>
      <c r="AI29" s="5">
        <f t="shared" si="23"/>
        <v>247683.45945945947</v>
      </c>
      <c r="AJ29" s="5">
        <f t="shared" si="24"/>
        <v>542.42677621621624</v>
      </c>
      <c r="AK29" s="5">
        <f t="shared" si="27"/>
        <v>966927.21008959459</v>
      </c>
      <c r="AL29" s="5"/>
      <c r="AM29">
        <f t="shared" si="7"/>
        <v>2024</v>
      </c>
      <c r="AN29" s="10">
        <f t="shared" si="25"/>
        <v>19.906124999999999</v>
      </c>
      <c r="AP29" s="5">
        <f t="shared" si="8"/>
        <v>54.790583456183462</v>
      </c>
      <c r="AQ29" s="14">
        <f t="shared" si="26"/>
        <v>8.7107445876285308</v>
      </c>
      <c r="AR29" s="14">
        <f t="shared" si="9"/>
        <v>48.574356389784285</v>
      </c>
      <c r="AS29" s="14">
        <f t="shared" si="10"/>
        <v>7.7224731939243698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1"/>
        <v>10000</v>
      </c>
      <c r="K30" s="3">
        <f t="shared" si="2"/>
        <v>2710000</v>
      </c>
      <c r="L30" s="3">
        <v>0</v>
      </c>
      <c r="M30" s="3">
        <f t="shared" si="12"/>
        <v>36000</v>
      </c>
      <c r="N30" s="3">
        <f t="shared" si="13"/>
        <v>36000</v>
      </c>
      <c r="O30" s="3">
        <f t="shared" si="14"/>
        <v>1340234</v>
      </c>
      <c r="P30" s="3">
        <f t="shared" si="15"/>
        <v>8000</v>
      </c>
      <c r="Q30" s="3">
        <v>251766</v>
      </c>
      <c r="R30" s="3">
        <f t="shared" si="16"/>
        <v>0</v>
      </c>
      <c r="S30" s="19"/>
      <c r="T30" s="10">
        <f t="shared" si="17"/>
        <v>0</v>
      </c>
      <c r="U30" s="16">
        <v>3316.6550762204715</v>
      </c>
      <c r="V30" s="5" t="e">
        <f t="shared" si="18"/>
        <v>#N/A</v>
      </c>
      <c r="W30" s="2" t="e">
        <f t="shared" si="19"/>
        <v>#N/A</v>
      </c>
      <c r="X30" s="10" t="e">
        <f t="shared" si="28"/>
        <v>#N/A</v>
      </c>
      <c r="Y30" s="10"/>
      <c r="Z30" s="9">
        <v>11.8</v>
      </c>
      <c r="AA30">
        <f t="shared" si="4"/>
        <v>6.13</v>
      </c>
      <c r="AB30" s="23">
        <v>0</v>
      </c>
      <c r="AC30" s="11">
        <f t="shared" si="20"/>
        <v>13</v>
      </c>
      <c r="AD30" s="11">
        <f t="shared" si="21"/>
        <v>30.93</v>
      </c>
      <c r="AF30" s="5">
        <f t="shared" si="5"/>
        <v>8000</v>
      </c>
      <c r="AG30" s="5">
        <f t="shared" si="6"/>
        <v>50000</v>
      </c>
      <c r="AH30" s="5">
        <f t="shared" si="22"/>
        <v>193766</v>
      </c>
      <c r="AI30" s="5">
        <f t="shared" si="23"/>
        <v>251766</v>
      </c>
      <c r="AJ30" s="5">
        <f t="shared" si="24"/>
        <v>551.36754000000008</v>
      </c>
      <c r="AK30" s="5">
        <f t="shared" si="27"/>
        <v>1168314.2040745947</v>
      </c>
      <c r="AL30" s="5"/>
      <c r="AM30">
        <f t="shared" si="7"/>
        <v>2024</v>
      </c>
      <c r="AN30" s="10">
        <f t="shared" si="25"/>
        <v>23.558624999999999</v>
      </c>
      <c r="AP30" s="5">
        <f t="shared" si="8"/>
        <v>55.136754000000003</v>
      </c>
      <c r="AQ30" s="14">
        <f t="shared" si="26"/>
        <v>8.7657796502384748</v>
      </c>
      <c r="AR30" s="14">
        <f t="shared" si="9"/>
        <v>49.591782375864241</v>
      </c>
      <c r="AS30" s="14">
        <f t="shared" si="10"/>
        <v>7.8842261328877967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1"/>
        <v>11100</v>
      </c>
      <c r="K31" s="3">
        <f t="shared" si="2"/>
        <v>2750000</v>
      </c>
      <c r="L31" s="3">
        <v>0</v>
      </c>
      <c r="M31" s="3">
        <f t="shared" si="12"/>
        <v>36000</v>
      </c>
      <c r="N31" s="3">
        <f t="shared" si="13"/>
        <v>36000</v>
      </c>
      <c r="O31" s="3">
        <f t="shared" si="14"/>
        <v>1439090</v>
      </c>
      <c r="P31" s="3">
        <f t="shared" si="15"/>
        <v>8200</v>
      </c>
      <c r="Q31" s="3">
        <v>252710</v>
      </c>
      <c r="R31" s="3">
        <f t="shared" si="16"/>
        <v>0</v>
      </c>
      <c r="S31" s="19"/>
      <c r="T31" s="10">
        <f t="shared" si="17"/>
        <v>0</v>
      </c>
      <c r="U31" s="16">
        <v>3316.6550762204715</v>
      </c>
      <c r="V31" s="5" t="e">
        <f>LinearInterpolation(T31/U31,$AE$6:$AE$11,$AF$6:$AF$11)*U31*U31</f>
        <v>#N/A</v>
      </c>
      <c r="W31" s="2" t="e">
        <f t="shared" si="19"/>
        <v>#N/A</v>
      </c>
      <c r="X31" s="10" t="e">
        <f t="shared" si="28"/>
        <v>#N/A</v>
      </c>
      <c r="Y31" s="10"/>
      <c r="Z31" s="9">
        <v>11.8</v>
      </c>
      <c r="AA31">
        <f t="shared" si="4"/>
        <v>6.25</v>
      </c>
      <c r="AB31" s="23">
        <v>0</v>
      </c>
      <c r="AC31" s="11">
        <f t="shared" si="20"/>
        <v>13</v>
      </c>
      <c r="AD31" s="11">
        <f t="shared" si="21"/>
        <v>31.05</v>
      </c>
      <c r="AF31" s="5">
        <f t="shared" si="5"/>
        <v>8200</v>
      </c>
      <c r="AG31" s="5">
        <f t="shared" si="6"/>
        <v>50000</v>
      </c>
      <c r="AH31" s="5">
        <f t="shared" si="22"/>
        <v>194510</v>
      </c>
      <c r="AI31" s="5">
        <f t="shared" si="23"/>
        <v>252710</v>
      </c>
      <c r="AJ31" s="5">
        <f t="shared" si="24"/>
        <v>553.43489999999997</v>
      </c>
      <c r="AK31" s="5">
        <f t="shared" si="27"/>
        <v>1370456.3012995946</v>
      </c>
      <c r="AL31" s="5"/>
      <c r="AM31">
        <f t="shared" si="7"/>
        <v>2026</v>
      </c>
      <c r="AN31" s="10">
        <f t="shared" si="25"/>
        <v>27.6129</v>
      </c>
      <c r="AP31" s="5">
        <f t="shared" si="8"/>
        <v>49.859000000000002</v>
      </c>
      <c r="AQ31" s="14">
        <f t="shared" si="26"/>
        <v>7.9267090620031802</v>
      </c>
      <c r="AR31" s="14">
        <f t="shared" si="9"/>
        <v>49.631016709566708</v>
      </c>
      <c r="AS31" s="14">
        <f t="shared" si="10"/>
        <v>7.8904637058134668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1"/>
        <v>10500</v>
      </c>
      <c r="K32" s="3">
        <f t="shared" si="2"/>
        <v>2790000</v>
      </c>
      <c r="L32" s="3">
        <v>0</v>
      </c>
      <c r="M32" s="3">
        <f t="shared" si="12"/>
        <v>38000</v>
      </c>
      <c r="N32" s="3">
        <f t="shared" si="13"/>
        <v>38000</v>
      </c>
      <c r="O32" s="3">
        <f t="shared" si="14"/>
        <v>1836746</v>
      </c>
      <c r="P32" s="3">
        <f t="shared" si="15"/>
        <v>9000</v>
      </c>
      <c r="Q32" s="3">
        <v>254254</v>
      </c>
      <c r="R32" s="3">
        <f t="shared" si="16"/>
        <v>0</v>
      </c>
      <c r="S32" s="19"/>
      <c r="T32" s="10">
        <f t="shared" si="17"/>
        <v>0</v>
      </c>
      <c r="U32" s="16">
        <v>3685.6717811091703</v>
      </c>
      <c r="V32" s="5" t="e">
        <f t="shared" si="18"/>
        <v>#N/A</v>
      </c>
      <c r="W32" s="2" t="e">
        <f t="shared" si="19"/>
        <v>#N/A</v>
      </c>
      <c r="X32" s="10" t="e">
        <f t="shared" si="28"/>
        <v>#N/A</v>
      </c>
      <c r="Y32" s="10"/>
      <c r="Z32" s="9">
        <v>11.8</v>
      </c>
      <c r="AA32">
        <f t="shared" si="4"/>
        <v>6.37</v>
      </c>
      <c r="AB32" s="23">
        <v>0</v>
      </c>
      <c r="AC32" s="15">
        <v>13</v>
      </c>
      <c r="AD32" s="11">
        <f t="shared" si="21"/>
        <v>31.17</v>
      </c>
      <c r="AF32" s="5">
        <f t="shared" si="5"/>
        <v>9000</v>
      </c>
      <c r="AG32" s="5">
        <f t="shared" si="6"/>
        <v>50000</v>
      </c>
      <c r="AH32" s="5">
        <f t="shared" si="22"/>
        <v>195254</v>
      </c>
      <c r="AI32" s="5">
        <f t="shared" si="23"/>
        <v>254254</v>
      </c>
      <c r="AJ32" s="5">
        <f t="shared" si="24"/>
        <v>556.81626000000006</v>
      </c>
      <c r="AK32" s="5">
        <f t="shared" si="27"/>
        <v>1573833.4402645945</v>
      </c>
      <c r="AL32" s="5"/>
      <c r="AM32">
        <f t="shared" si="7"/>
        <v>2027</v>
      </c>
      <c r="AN32" s="10">
        <f t="shared" si="25"/>
        <v>31.448025000000001</v>
      </c>
      <c r="AP32" s="5">
        <f t="shared" si="8"/>
        <v>53.030120000000004</v>
      </c>
      <c r="AQ32" s="14">
        <f t="shared" si="26"/>
        <v>8.4308616852146265</v>
      </c>
      <c r="AR32" s="14">
        <f t="shared" si="9"/>
        <v>50.045541501082958</v>
      </c>
      <c r="AS32" s="14">
        <f t="shared" si="10"/>
        <v>7.9563658984233641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1"/>
        <v>9500</v>
      </c>
      <c r="K33" s="3">
        <f t="shared" si="2"/>
        <v>2830000</v>
      </c>
      <c r="L33" s="3">
        <v>0</v>
      </c>
      <c r="M33" s="3">
        <f t="shared" si="12"/>
        <v>33000</v>
      </c>
      <c r="N33" s="3">
        <f t="shared" si="13"/>
        <v>33000</v>
      </c>
      <c r="O33" s="3">
        <f t="shared" si="14"/>
        <v>843837.62162162166</v>
      </c>
      <c r="P33" s="3">
        <f t="shared" si="15"/>
        <v>7000</v>
      </c>
      <c r="Q33" s="3">
        <v>249162.37837837837</v>
      </c>
      <c r="R33" s="3">
        <f t="shared" si="16"/>
        <v>0</v>
      </c>
      <c r="S33" s="19"/>
      <c r="T33" s="10">
        <f t="shared" si="17"/>
        <v>0</v>
      </c>
      <c r="U33" s="16">
        <v>3086.0958611163078</v>
      </c>
      <c r="V33" s="5" t="e">
        <f t="shared" si="18"/>
        <v>#N/A</v>
      </c>
      <c r="W33" s="2" t="e">
        <f t="shared" si="19"/>
        <v>#N/A</v>
      </c>
      <c r="X33" s="10" t="e">
        <f t="shared" si="28"/>
        <v>#N/A</v>
      </c>
      <c r="Y33" s="10"/>
      <c r="Z33" s="9">
        <v>11.8</v>
      </c>
      <c r="AA33">
        <f t="shared" si="4"/>
        <v>6.5200000000000005</v>
      </c>
      <c r="AB33" s="23">
        <v>0</v>
      </c>
      <c r="AC33" s="11">
        <f>LinearInterpolation(M33,$P$5:$P$11,$Q$5:$Q$11)</f>
        <v>12.351351351351351</v>
      </c>
      <c r="AD33" s="11">
        <f t="shared" si="21"/>
        <v>30.671351351351351</v>
      </c>
      <c r="AF33" s="5">
        <f t="shared" si="5"/>
        <v>7000</v>
      </c>
      <c r="AG33" s="5">
        <f t="shared" si="6"/>
        <v>50000</v>
      </c>
      <c r="AH33" s="5">
        <f t="shared" si="22"/>
        <v>192162.37837837837</v>
      </c>
      <c r="AI33" s="5">
        <f t="shared" si="23"/>
        <v>249162.37837837837</v>
      </c>
      <c r="AJ33" s="5">
        <f t="shared" si="24"/>
        <v>545.66560864864857</v>
      </c>
      <c r="AK33" s="5">
        <f t="shared" si="27"/>
        <v>1773137.8038235134</v>
      </c>
      <c r="AL33" s="5"/>
      <c r="AM33">
        <f t="shared" si="7"/>
        <v>2028</v>
      </c>
      <c r="AN33" s="10">
        <f t="shared" si="25"/>
        <v>34.917900000000003</v>
      </c>
      <c r="AP33" s="5">
        <f t="shared" si="8"/>
        <v>57.438485120910379</v>
      </c>
      <c r="AQ33" s="14">
        <f t="shared" si="26"/>
        <v>9.1317146456137319</v>
      </c>
      <c r="AR33" s="14">
        <f t="shared" si="9"/>
        <v>50.780195940291748</v>
      </c>
      <c r="AS33" s="14">
        <f t="shared" si="10"/>
        <v>8.0731631065646656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1"/>
        <v>7500</v>
      </c>
      <c r="K34" s="3">
        <f t="shared" si="2"/>
        <v>2860000</v>
      </c>
      <c r="L34" s="3">
        <v>0</v>
      </c>
      <c r="M34" s="3">
        <f t="shared" si="12"/>
        <v>36000</v>
      </c>
      <c r="N34" s="3">
        <f t="shared" si="13"/>
        <v>36000</v>
      </c>
      <c r="O34" s="3">
        <f t="shared" si="14"/>
        <v>0</v>
      </c>
      <c r="P34" s="3">
        <f t="shared" si="15"/>
        <v>5000</v>
      </c>
      <c r="Q34" s="3">
        <v>201928</v>
      </c>
      <c r="R34" s="3">
        <f t="shared" si="16"/>
        <v>0</v>
      </c>
      <c r="S34" s="19"/>
      <c r="T34" s="10">
        <f t="shared" si="17"/>
        <v>0</v>
      </c>
      <c r="U34" s="16">
        <v>3316.6550762204715</v>
      </c>
      <c r="V34" s="5" t="e">
        <f t="shared" si="18"/>
        <v>#N/A</v>
      </c>
      <c r="W34" s="2" t="e">
        <f t="shared" si="19"/>
        <v>#N/A</v>
      </c>
      <c r="X34" s="10" t="e">
        <f t="shared" si="28"/>
        <v>#N/A</v>
      </c>
      <c r="Y34" s="10"/>
      <c r="Z34" s="9">
        <v>11.8</v>
      </c>
      <c r="AA34">
        <f t="shared" si="4"/>
        <v>6.64</v>
      </c>
      <c r="AB34" s="23">
        <v>0</v>
      </c>
      <c r="AC34" s="11">
        <f>LinearInterpolation(M34,$P$5:$P$11,$Q$5:$Q$11)</f>
        <v>13</v>
      </c>
      <c r="AD34" s="11">
        <f t="shared" si="21"/>
        <v>31.44</v>
      </c>
      <c r="AF34" s="5">
        <f t="shared" si="5"/>
        <v>5000</v>
      </c>
      <c r="AG34" s="5">
        <f t="shared" si="6"/>
        <v>0</v>
      </c>
      <c r="AH34" s="5">
        <f t="shared" si="22"/>
        <v>196928</v>
      </c>
      <c r="AI34" s="5">
        <f t="shared" si="23"/>
        <v>201928</v>
      </c>
      <c r="AJ34" s="5">
        <f t="shared" si="24"/>
        <v>442.22232000000002</v>
      </c>
      <c r="AK34" s="5">
        <f t="shared" si="27"/>
        <v>1934659.5062035134</v>
      </c>
      <c r="AL34" s="5"/>
      <c r="AM34">
        <f t="shared" si="7"/>
        <v>2029</v>
      </c>
      <c r="AN34" s="10">
        <f t="shared" si="25"/>
        <v>37.657275000000006</v>
      </c>
      <c r="AP34" s="5">
        <f t="shared" si="8"/>
        <v>58.962975999999998</v>
      </c>
      <c r="AQ34" s="14">
        <f t="shared" si="26"/>
        <v>9.3740820349761513</v>
      </c>
      <c r="AR34" s="14">
        <f t="shared" si="9"/>
        <v>51.375451521744822</v>
      </c>
      <c r="AS34" s="14">
        <f t="shared" si="10"/>
        <v>8.1677983341406719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1"/>
        <v>8000</v>
      </c>
      <c r="K35" s="3">
        <f t="shared" si="2"/>
        <v>2900000</v>
      </c>
      <c r="L35" s="3">
        <v>0</v>
      </c>
      <c r="M35" s="3">
        <f t="shared" si="12"/>
        <v>35000</v>
      </c>
      <c r="N35" s="3">
        <f t="shared" si="13"/>
        <v>35000</v>
      </c>
      <c r="O35" s="3">
        <f t="shared" si="14"/>
        <v>0</v>
      </c>
      <c r="P35" s="3">
        <f t="shared" si="15"/>
        <v>4000</v>
      </c>
      <c r="Q35" s="3">
        <v>200579.45945945947</v>
      </c>
      <c r="R35" s="3">
        <f t="shared" si="16"/>
        <v>0</v>
      </c>
      <c r="S35" s="19"/>
      <c r="T35" s="10">
        <f t="shared" si="17"/>
        <v>0</v>
      </c>
      <c r="U35" s="16">
        <v>3214.1196729831181</v>
      </c>
      <c r="V35" s="5" t="e">
        <f t="shared" si="18"/>
        <v>#N/A</v>
      </c>
      <c r="W35" s="2" t="e">
        <f t="shared" si="19"/>
        <v>#N/A</v>
      </c>
      <c r="X35" s="10" t="e">
        <f t="shared" si="28"/>
        <v>#N/A</v>
      </c>
      <c r="Y35" s="10"/>
      <c r="Z35" s="9">
        <v>11.8</v>
      </c>
      <c r="AA35">
        <f t="shared" si="4"/>
        <v>6.8</v>
      </c>
      <c r="AB35" s="23">
        <v>0</v>
      </c>
      <c r="AC35" s="11">
        <f>LinearInterpolation(M35,$P$5:$P$11,$Q$5:$Q$11)</f>
        <v>12.783783783783784</v>
      </c>
      <c r="AD35" s="11">
        <f t="shared" si="21"/>
        <v>31.383783783783784</v>
      </c>
      <c r="AF35" s="5">
        <f t="shared" si="5"/>
        <v>4000</v>
      </c>
      <c r="AG35" s="5">
        <f t="shared" si="6"/>
        <v>0</v>
      </c>
      <c r="AH35" s="5">
        <f t="shared" si="22"/>
        <v>196579.45945945947</v>
      </c>
      <c r="AI35" s="5">
        <f t="shared" si="23"/>
        <v>200579.45945945947</v>
      </c>
      <c r="AJ35" s="5">
        <f t="shared" si="24"/>
        <v>439.26901621621619</v>
      </c>
      <c r="AK35" s="5">
        <f t="shared" si="27"/>
        <v>2095102.5143764864</v>
      </c>
      <c r="AL35" s="5"/>
      <c r="AM35">
        <f t="shared" si="7"/>
        <v>2030</v>
      </c>
      <c r="AN35" s="10">
        <f t="shared" si="25"/>
        <v>40.579275000000003</v>
      </c>
      <c r="AP35" s="5">
        <f t="shared" si="8"/>
        <v>54.908627027027023</v>
      </c>
      <c r="AQ35" s="14">
        <f t="shared" si="26"/>
        <v>8.7295114510376823</v>
      </c>
      <c r="AR35" s="14">
        <f t="shared" si="9"/>
        <v>51.629865599532927</v>
      </c>
      <c r="AS35" s="14">
        <f t="shared" si="10"/>
        <v>8.208245723296173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1"/>
        <v>7000</v>
      </c>
      <c r="K36" s="3">
        <f t="shared" si="2"/>
        <v>2930000</v>
      </c>
      <c r="L36" s="3">
        <v>0</v>
      </c>
      <c r="M36" s="3">
        <f t="shared" si="12"/>
        <v>33000</v>
      </c>
      <c r="N36" s="3">
        <f t="shared" si="13"/>
        <v>33000</v>
      </c>
      <c r="O36" s="3">
        <f t="shared" si="14"/>
        <v>343543.6216216216</v>
      </c>
      <c r="P36" s="3">
        <f t="shared" si="15"/>
        <v>6000</v>
      </c>
      <c r="Q36" s="3">
        <v>250456.3783783784</v>
      </c>
      <c r="R36" s="3">
        <f t="shared" si="16"/>
        <v>0</v>
      </c>
      <c r="S36" s="19"/>
      <c r="T36" s="10">
        <f t="shared" si="17"/>
        <v>0</v>
      </c>
      <c r="U36" s="16">
        <v>3086.0958611163078</v>
      </c>
      <c r="V36" s="5" t="e">
        <f t="shared" si="18"/>
        <v>#N/A</v>
      </c>
      <c r="W36" s="2" t="e">
        <f t="shared" si="19"/>
        <v>#N/A</v>
      </c>
      <c r="X36" s="10" t="e">
        <f t="shared" si="28"/>
        <v>#N/A</v>
      </c>
      <c r="Y36" s="10"/>
      <c r="Z36" s="9">
        <v>11.8</v>
      </c>
      <c r="AA36">
        <f t="shared" si="4"/>
        <v>6.89</v>
      </c>
      <c r="AB36" s="23">
        <v>0</v>
      </c>
      <c r="AC36" s="11">
        <f>LinearInterpolation(M36,$P$5:$P$11,$Q$5:$Q$11)</f>
        <v>12.351351351351351</v>
      </c>
      <c r="AD36" s="11">
        <f t="shared" si="21"/>
        <v>31.041351351351352</v>
      </c>
      <c r="AF36" s="5">
        <f t="shared" si="5"/>
        <v>6000</v>
      </c>
      <c r="AG36" s="5">
        <f t="shared" si="6"/>
        <v>50000</v>
      </c>
      <c r="AH36" s="5">
        <f t="shared" si="22"/>
        <v>194456.3783783784</v>
      </c>
      <c r="AI36" s="5">
        <f t="shared" si="23"/>
        <v>250456.3783783784</v>
      </c>
      <c r="AJ36" s="5">
        <f t="shared" si="24"/>
        <v>548.49946864864876</v>
      </c>
      <c r="AK36" s="5">
        <f t="shared" si="27"/>
        <v>2295441.9453004054</v>
      </c>
      <c r="AL36" s="5"/>
      <c r="AM36">
        <f t="shared" si="7"/>
        <v>2031</v>
      </c>
      <c r="AN36" s="10">
        <f t="shared" si="25"/>
        <v>43.136025000000004</v>
      </c>
      <c r="AP36" s="5">
        <f t="shared" si="8"/>
        <v>78.357066949806963</v>
      </c>
      <c r="AQ36" s="14">
        <f t="shared" si="26"/>
        <v>12.457403330652935</v>
      </c>
      <c r="AR36" s="14">
        <f t="shared" si="9"/>
        <v>53.214035027576259</v>
      </c>
      <c r="AS36" s="14">
        <f t="shared" si="10"/>
        <v>8.4601009582792148</v>
      </c>
    </row>
    <row r="38" spans="1:45">
      <c r="N38" s="3"/>
      <c r="Z38" s="11">
        <f>AVERAGE(Z25:Z36)</f>
        <v>11.799999999999999</v>
      </c>
      <c r="AA38" s="11">
        <f t="shared" ref="AA38:AD38" si="29">AVERAGE(AA25:AA36)</f>
        <v>5.9924999999999997</v>
      </c>
      <c r="AB38" s="11">
        <f t="shared" si="29"/>
        <v>0</v>
      </c>
      <c r="AC38" s="11">
        <f t="shared" si="29"/>
        <v>12.603603603603602</v>
      </c>
      <c r="AD38" s="11">
        <f t="shared" si="29"/>
        <v>30.396103603603606</v>
      </c>
      <c r="AF38" s="2">
        <f t="shared" ref="AF38:AI38" si="30">AVERAGE(AF25:AF36)</f>
        <v>7016.666666666667</v>
      </c>
      <c r="AG38" s="2">
        <f t="shared" si="30"/>
        <v>41666.666666666664</v>
      </c>
      <c r="AH38" s="2">
        <f t="shared" si="30"/>
        <v>190455.84234234234</v>
      </c>
      <c r="AI38" s="2">
        <f t="shared" si="30"/>
        <v>239139.17567567565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0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5E47-B10C-413B-AE4B-87302BFD765F}">
  <sheetPr codeName="Planilha1"/>
  <dimension ref="A2:T31"/>
  <sheetViews>
    <sheetView tabSelected="1" zoomScaleNormal="100" workbookViewId="0">
      <selection activeCell="N38" sqref="N38"/>
    </sheetView>
  </sheetViews>
  <sheetFormatPr defaultRowHeight="14.4"/>
  <sheetData>
    <row r="2" spans="1:4">
      <c r="A2" t="s">
        <v>85</v>
      </c>
      <c r="B2" t="s">
        <v>92</v>
      </c>
      <c r="C2" t="s">
        <v>90</v>
      </c>
      <c r="D2" t="s">
        <v>91</v>
      </c>
    </row>
    <row r="3" spans="1:4">
      <c r="A3" s="22">
        <v>0.02</v>
      </c>
      <c r="B3" t="s">
        <v>86</v>
      </c>
      <c r="C3">
        <f ca="1">INDIRECT(ADDRESS(36,37,,,$B3))</f>
        <v>2986023.2855530111</v>
      </c>
      <c r="D3">
        <f ca="1">INDIRECT(ADDRESS(36,45,,,$B3))</f>
        <v>11.00531360040344</v>
      </c>
    </row>
    <row r="4" spans="1:4">
      <c r="A4" s="22">
        <v>0.01</v>
      </c>
      <c r="B4" t="s">
        <v>87</v>
      </c>
      <c r="C4">
        <f t="shared" ref="C4:C23" ca="1" si="0">INDIRECT(ADDRESS(36,37,,,$B4))</f>
        <v>2649260.2962910444</v>
      </c>
      <c r="D4">
        <f t="shared" ref="D4:D23" ca="1" si="1">INDIRECT(ADDRESS(36,45,,,$B4))</f>
        <v>9.7641369746991096</v>
      </c>
    </row>
    <row r="5" spans="1:4">
      <c r="A5" s="20">
        <v>5.0000000000000001E-3</v>
      </c>
      <c r="B5" t="s">
        <v>88</v>
      </c>
      <c r="C5">
        <f t="shared" ca="1" si="0"/>
        <v>2480881.4534795689</v>
      </c>
      <c r="D5">
        <f t="shared" ca="1" si="1"/>
        <v>9.143558435416173</v>
      </c>
    </row>
    <row r="6" spans="1:4">
      <c r="A6" s="20">
        <v>2E-3</v>
      </c>
      <c r="B6" t="s">
        <v>89</v>
      </c>
      <c r="C6">
        <f t="shared" ca="1" si="0"/>
        <v>2379969.3546640053</v>
      </c>
      <c r="D6">
        <f t="shared" ca="1" si="1"/>
        <v>8.7716359193013993</v>
      </c>
    </row>
    <row r="8" spans="1:4">
      <c r="A8" s="22">
        <v>-0.2</v>
      </c>
      <c r="B8" t="s">
        <v>93</v>
      </c>
      <c r="C8">
        <f t="shared" ca="1" si="0"/>
        <v>2239520.152024006</v>
      </c>
      <c r="D8">
        <f t="shared" ca="1" si="1"/>
        <v>8.2539951067001862</v>
      </c>
    </row>
    <row r="9" spans="1:4">
      <c r="A9" s="22">
        <v>-0.1</v>
      </c>
      <c r="B9" t="s">
        <v>94</v>
      </c>
      <c r="C9">
        <f t="shared" ca="1" si="0"/>
        <v>2309744.7533440059</v>
      </c>
      <c r="D9">
        <f t="shared" ca="1" si="1"/>
        <v>8.5128155130007936</v>
      </c>
    </row>
    <row r="10" spans="1:4">
      <c r="A10" s="22" t="s">
        <v>111</v>
      </c>
      <c r="B10" t="s">
        <v>89</v>
      </c>
      <c r="C10">
        <f t="shared" ca="1" si="0"/>
        <v>2379969.3546640053</v>
      </c>
      <c r="D10">
        <f t="shared" ca="1" si="1"/>
        <v>8.7716359193013993</v>
      </c>
    </row>
    <row r="11" spans="1:4">
      <c r="A11" s="22">
        <v>0.1</v>
      </c>
      <c r="B11" t="s">
        <v>95</v>
      </c>
      <c r="C11">
        <f t="shared" ca="1" si="0"/>
        <v>2450193.9559840062</v>
      </c>
      <c r="D11">
        <f t="shared" ca="1" si="1"/>
        <v>9.0304563256020103</v>
      </c>
    </row>
    <row r="12" spans="1:4">
      <c r="A12" s="22">
        <v>0.2</v>
      </c>
      <c r="B12" t="s">
        <v>96</v>
      </c>
      <c r="C12">
        <f t="shared" ca="1" si="0"/>
        <v>2520418.5573040061</v>
      </c>
      <c r="D12">
        <f t="shared" ca="1" si="1"/>
        <v>9.2892767319026177</v>
      </c>
    </row>
    <row r="13" spans="1:4">
      <c r="A13" t="s">
        <v>109</v>
      </c>
      <c r="B13" t="s">
        <v>110</v>
      </c>
      <c r="C13">
        <f t="shared" ca="1" si="0"/>
        <v>1520897.86310265</v>
      </c>
      <c r="D13">
        <f t="shared" ca="1" si="1"/>
        <v>5.6054344983208182</v>
      </c>
    </row>
    <row r="15" spans="1:4">
      <c r="A15" t="s">
        <v>97</v>
      </c>
      <c r="B15" t="s">
        <v>100</v>
      </c>
      <c r="C15">
        <f ca="1">INDIRECT(ADDRESS(36,37,,,$B15))</f>
        <v>2170884.4217198649</v>
      </c>
      <c r="D15">
        <f ca="1">INDIRECT(ADDRESS(36,45,,,$B15))</f>
        <v>8.0010306573456358</v>
      </c>
    </row>
    <row r="16" spans="1:4">
      <c r="A16" t="s">
        <v>98</v>
      </c>
      <c r="B16" t="s">
        <v>89</v>
      </c>
      <c r="C16">
        <f ca="1">INDIRECT(ADDRESS(36,37,,,$B16))</f>
        <v>2379969.3546640053</v>
      </c>
      <c r="D16">
        <f ca="1">INDIRECT(ADDRESS(36,45,,,$B16))</f>
        <v>8.7716359193013993</v>
      </c>
    </row>
    <row r="17" spans="1:20">
      <c r="A17" t="s">
        <v>99</v>
      </c>
      <c r="B17" t="s">
        <v>101</v>
      </c>
      <c r="C17">
        <f ca="1">INDIRECT(ADDRESS(36,37,,,$B17))</f>
        <v>2819792.0546745332</v>
      </c>
      <c r="D17">
        <f ca="1">INDIRECT(ADDRESS(36,45,,,$B17))</f>
        <v>10.392650318489377</v>
      </c>
    </row>
    <row r="19" spans="1:20">
      <c r="A19" t="s">
        <v>104</v>
      </c>
      <c r="B19" t="s">
        <v>102</v>
      </c>
      <c r="C19">
        <f ca="1">INDIRECT(ADDRESS(36,37,,,$B19))</f>
        <v>2386670.8350624256</v>
      </c>
      <c r="D19">
        <f ca="1">INDIRECT(ADDRESS(36,45,,,$B19))</f>
        <v>8.7963349542112752</v>
      </c>
    </row>
    <row r="20" spans="1:20">
      <c r="A20" t="s">
        <v>98</v>
      </c>
      <c r="B20" t="s">
        <v>89</v>
      </c>
      <c r="C20">
        <f ca="1">INDIRECT(ADDRESS(36,37,,,$B20))</f>
        <v>2379969.3546640053</v>
      </c>
      <c r="D20">
        <f ca="1">INDIRECT(ADDRESS(36,45,,,$B20))</f>
        <v>8.7716359193013993</v>
      </c>
    </row>
    <row r="21" spans="1:20">
      <c r="A21" t="s">
        <v>105</v>
      </c>
      <c r="B21" t="s">
        <v>103</v>
      </c>
      <c r="C21">
        <f ca="1">INDIRECT(ADDRESS(36,37,,,$B21))</f>
        <v>2295441.9453004054</v>
      </c>
      <c r="D21">
        <f ca="1">INDIRECT(ADDRESS(36,45,,,$B21))</f>
        <v>8.4601009582792148</v>
      </c>
    </row>
    <row r="23" spans="1:20">
      <c r="A23" t="s">
        <v>106</v>
      </c>
      <c r="B23" t="s">
        <v>106</v>
      </c>
      <c r="C23">
        <f ca="1">INDIRECT(ADDRESS(36,35,,,$B23))</f>
        <v>3006550.3201692179</v>
      </c>
      <c r="D23">
        <f ca="1">INDIRECT(ADDRESS(36,43,,,$B23))</f>
        <v>11.080968219150275</v>
      </c>
    </row>
    <row r="24" spans="1:20">
      <c r="A24" t="s">
        <v>107</v>
      </c>
      <c r="B24" t="s">
        <v>89</v>
      </c>
      <c r="C24">
        <f ca="1">INDIRECT(ADDRESS(36,37,,,$B24))</f>
        <v>2379969.3546640053</v>
      </c>
      <c r="D24">
        <f ca="1">INDIRECT(ADDRESS(36,45,,,$B24))</f>
        <v>8.7716359193013993</v>
      </c>
    </row>
    <row r="31" spans="1:20">
      <c r="T31" t="s">
        <v>84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Original</vt:lpstr>
      <vt:lpstr>Adjusted</vt:lpstr>
      <vt:lpstr>2pcLoss</vt:lpstr>
      <vt:lpstr>1pcLoss</vt:lpstr>
      <vt:lpstr>0.5pcLoss</vt:lpstr>
      <vt:lpstr>Base-20pc</vt:lpstr>
      <vt:lpstr>Base-10pc</vt:lpstr>
      <vt:lpstr>Base+10pc</vt:lpstr>
      <vt:lpstr>Base+20pc</vt:lpstr>
      <vt:lpstr>WindFarm</vt:lpstr>
      <vt:lpstr>NoGasExport</vt:lpstr>
      <vt:lpstr>MaxExport</vt:lpstr>
      <vt:lpstr>MinSeaWat</vt:lpstr>
      <vt:lpstr>MaxSeaWat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Filho</dc:creator>
  <cp:lastModifiedBy>Tiago Amorim</cp:lastModifiedBy>
  <dcterms:created xsi:type="dcterms:W3CDTF">2023-08-02T11:53:06Z</dcterms:created>
  <dcterms:modified xsi:type="dcterms:W3CDTF">2023-11-23T22:26:08Z</dcterms:modified>
</cp:coreProperties>
</file>